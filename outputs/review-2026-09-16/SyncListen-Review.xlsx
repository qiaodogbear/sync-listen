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8baeae8a6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b334c90451d4e16"/>
    <x:sheet xmlns:r="http://schemas.openxmlformats.org/officeDocument/2006/relationships" name="Data &amp; Targets" sheetId="2" r:id="R841b68e36dcf4412"/>
    <x:sheet xmlns:r="http://schemas.openxmlformats.org/officeDocument/2006/relationships" name="_Chart Helpers" sheetId="3" r:id="Rb76d6e92dc2c4fd8"/>
  </x:sheets>
</x:workbook>
</file>

<file path=xl/sharedStrings.xml><?xml version="1.0" encoding="utf-8"?>
<x:sst xmlns:x="http://schemas.openxmlformats.org/spreadsheetml/2006/main">
  <x:si>
    <x:t xml:space="preserve">SELECTED REPORTING PERIOD</x:t>
  </x:si>
  <x:si>
    <x:t xml:space="preserve">DATA CURRENT THROUGH</x:t>
  </x:si>
  <x:si>
    <x:t xml:space="preserve">ACTIVE USERS</x:t>
  </x:si>
  <x:si>
    <x:t xml:space="preserve">NEW USERS</x:t>
  </x:si>
  <x:si>
    <x:t xml:space="preserve">30-DAY RETENTION</x:t>
  </x:si>
  <x:si>
    <x:t xml:space="preserve">TRIAL-TO-PAID</x:t>
  </x:si>
  <x:si>
    <x:t xml:space="preserve">vs prior</x:t>
  </x:si>
  <x:si>
    <x:t xml:space="preserve">vs target</x:t>
  </x:si>
  <x:si>
    <x:t xml:space="preserve">SESSIONS / USER</x:t>
  </x:si>
  <x:si>
    <x:t xml:space="preserve">MONTHLY RECURRING REVENUE</x:t>
  </x:si>
  <x:si>
    <x:t xml:space="preserve">BOUNCE RATE</x:t>
  </x:si>
  <x:si>
    <x:t xml:space="preserve">MRR / ACTIVE USER</x:t>
  </x:si>
  <x:si>
    <x:t xml:space="preserve">ACTIVE USERS — ACTUAL VS TARGET</x:t>
  </x:si>
  <x:si>
    <x:t xml:space="preserve">MRR — ACTUAL VS TARGET</x:t>
  </x:si>
  <x:si>
    <x:t xml:space="preserve">CONVERSION FUNNEL — SELECTED PERIOD</x:t>
  </x:si>
  <x:si>
    <x:t xml:space="preserve">MRR MIX BY SEGMENT</x:t>
  </x:si>
  <x:si>
    <x:t xml:space="preserve">SELECTED-PERIOD VARIANCE</x:t>
  </x:si>
  <x:si>
    <x:t xml:space="preserve">Metric</x:t>
  </x:si>
  <x:si>
    <x:t xml:space="preserve">Goal</x:t>
  </x:si>
  <x:si>
    <x:t xml:space="preserve">Actual</x:t>
  </x:si>
  <x:si>
    <x:t xml:space="preserve">Target</x:t>
  </x:si>
  <x:si>
    <x:t xml:space="preserve">Absolute Variance</x:t>
  </x:si>
  <x:si>
    <x:t xml:space="preserve">Variance %</x:t>
  </x:si>
  <x:si>
    <x:t xml:space="preserve">Status</x:t>
  </x:si>
  <x:si>
    <x:t xml:space="preserve">Status is direction-aware: most metrics favor higher results, while Bounce Rate explicitly favors lower results. Watch thresholds are within 5% of target.</x:t>
  </x:si>
  <x:si>
    <x:t xml:space="preserve">Synthetic illustrative data for template use.</x:t>
  </x:si>
  <x:si>
    <x:t xml:space="preserve">HOW TO USE</x:t>
  </x:si>
  <x:si>
    <x:t xml:space="preserve">Paste or replace synthetic monthly actuals and targets in yellow cells B15:P26. Keep dates as real month-start dates.</x:t>
  </x:si>
  <x:si>
    <x:t xml:space="preserve">Choose Selected Period in C8. Dashboard KPIs, comparisons, variance status, funnel, and mix recalculate from that period.</x:t>
  </x:si>
  <x:si>
    <x:t xml:space="preserve">Synthetic generic example data for template review; replace only yellow inputs.</x:t>
  </x:si>
  <x:si>
    <x:t xml:space="preserve">MONTHLY ACTUALS &amp; TARGETS — EDIT YELLOW CELLS</x:t>
  </x:si>
  <x:si>
    <x:t xml:space="preserve">FUNNEL DRIVERS — EDIT YELLOW CELLS</x:t>
  </x:si>
  <x:si>
    <x:t xml:space="preserve">SEGMENT MIX — EDIT YELLOW CELLS</x:t>
  </x:si>
</x:sst>
</file>

<file path=xl/styles.xml><?xml version="1.0" encoding="utf-8"?>
<x:styleSheet xmlns:x="http://schemas.openxmlformats.org/spreadsheetml/2006/main">
  <x:numFmts count="12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@"/>
    <x:numFmt numFmtId="201" formatCode="0"/>
    <x:numFmt numFmtId="202" formatCode="0.0%"/>
    <x:numFmt numFmtId="203" formatCode="#,##0"/>
  </x:numFmts>
  <x:fonts count="20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200" fontId="18" fillId="5" borderId="2" xfId="0" applyNumberFormat="1" applyFont="1" applyFill="1" applyBorder="1" applyAlignment="1">
      <x:alignment horizontal="left" vertical="center"/>
    </x:xf>
    <x:xf numFmtId="200" fontId="17" fillId="6" borderId="1" xfId="0" applyNumberFormat="1" applyFont="1" applyFill="1" applyBorder="1" applyAlignment="1">
      <x:alignment horizontal="left" vertical="center"/>
    </x:xf>
    <x:xf numFmtId="200" fontId="18" fillId="5" borderId="2" xfId="0" applyNumberFormat="1" applyFont="1" applyFill="1" applyBorder="1" applyAlignment="1">
      <x:alignment horizontal="right" vertical="center"/>
    </x:xf>
    <x:xf numFmtId="201" fontId="18" fillId="5" borderId="2" xfId="0" applyNumberFormat="1" applyFont="1" applyFill="1" applyBorder="1" applyAlignment="1">
      <x:alignment horizontal="right" vertical="center"/>
    </x:xf>
    <x:xf numFmtId="202" fontId="18" fillId="5" borderId="2" xfId="0" applyNumberFormat="1" applyFont="1" applyFill="1" applyBorder="1" applyAlignment="1">
      <x:alignment horizontal="right" vertical="center"/>
    </x:xf>
    <x:xf numFmtId="201" fontId="17" fillId="4" borderId="1" xfId="0" applyNumberFormat="1" applyFont="1" applyFill="1" applyBorder="1" applyAlignment="1">
      <x:alignment horizontal="left" vertical="center"/>
    </x:xf>
    <x:xf numFmtId="201" fontId="4" fillId="6" borderId="1" xfId="0" applyNumberFormat="1" applyFont="1" applyFill="1" applyBorder="1" applyAlignment="1">
      <x:alignment horizontal="left" vertical="center"/>
    </x:xf>
    <x:xf numFmtId="203" fontId="11" fillId="10" borderId="9" xfId="0" applyNumberFormat="1" applyFont="1" applyFill="1" applyBorder="1" applyAlignment="1">
      <x:alignment horizontal="left" vertical="center"/>
    </x:xf>
    <x:xf numFmtId="203" fontId="6" fillId="10" borderId="1" xfId="0" applyNumberFormat="1" applyFont="1" applyFill="1" applyBorder="1" applyAlignment="1">
      <x:alignment horizontal="right" vertical="center"/>
    </x:xf>
    <x:xf numFmtId="203" fontId="4" fillId="6" borderId="1" xfId="0" applyNumberFormat="1" applyFont="1" applyFill="1" applyBorder="1" applyAlignment="1">
      <x:alignment horizontal="left" vertical="center"/>
    </x:xf>
    <x:xf numFmtId="202" fontId="11" fillId="10" borderId="9" xfId="0" applyNumberFormat="1" applyFont="1" applyFill="1" applyBorder="1" applyAlignment="1">
      <x:alignment horizontal="left" vertical="center"/>
    </x:xf>
    <x:xf numFmtId="202" fontId="6" fillId="10" borderId="1" xfId="0" applyNumberFormat="1" applyFont="1" applyFill="1" applyBorder="1" applyAlignment="1">
      <x:alignment horizontal="right" vertical="center"/>
    </x:xf>
    <x:xf numFmtId="202" fontId="4" fillId="6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18b8c34f44a19" /><Relationship Type="http://schemas.openxmlformats.org/officeDocument/2006/relationships/theme" Target="/xl/theme/theme1.xml" Id="R99dfa14ce5864c59" /><Relationship Type="http://schemas.openxmlformats.org/officeDocument/2006/relationships/sharedStrings" Target="/xl/sharedStrings.xml" Id="Ra9c81672bfda4226" /><Relationship Type="http://schemas.openxmlformats.org/officeDocument/2006/relationships/worksheet" Target="/xl/worksheets/sheet1.xml" Id="Rab334c90451d4e16" /><Relationship Type="http://schemas.openxmlformats.org/officeDocument/2006/relationships/worksheet" Target="/xl/worksheets/sheet2.xml" Id="R841b68e36dcf4412" /><Relationship Type="http://schemas.openxmlformats.org/officeDocument/2006/relationships/worksheet" Target="/xl/worksheets/sheet3.xml" Id="Rb76d6e92dc2c4f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2ef10a90fd49bd" /><Relationship Type="http://schemas.openxmlformats.org/officeDocument/2006/relationships/chart" Target="/xl/drawings/charts/chart2.xml" Id="R9d96e25d44ea4ea9" /><Relationship Type="http://schemas.openxmlformats.org/officeDocument/2006/relationships/chart" Target="/xl/drawings/charts/chart3.xml" Id="R8d929b269a4840a0" /><Relationship Type="http://schemas.openxmlformats.org/officeDocument/2006/relationships/chart" Target="/xl/drawings/charts/chart4.xml" Id="R6e858f7dc84046ac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执行用例数量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v>执行用例</c:v>
          </c:tx>
          <c:marker>
            <c:symbol val="none"/>
          </c:marker>
          <c:cat>
            <c:strRef>
              <c:f>'_Chart Helpers'!$H$2:$H$3</c:f>
              <c:strCache>
                <c:ptCount val="0"/>
              </c:strCache>
            </c:strRef>
          </c:cat>
          <c:val>
            <c:numRef>
              <c:f>'_Chart Helpers'!$I$2:$I$3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目标</c:v>
          </c:tx>
          <c:marker>
            <c:symbol val="none"/>
          </c:marker>
          <c:cat>
            <c:strRef>
              <c:f>'_Chart Helpers'!$H$2:$H$3</c:f>
              <c:strCache>
                <c:ptCount val="0"/>
              </c:strCache>
            </c:strRef>
          </c:cat>
          <c:val>
            <c:numRef>
              <c:f>'_Chart Helpers'!$J$2:$J$3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038433"/>
        <c:axId val="982302182"/>
      </c:lineChart>
      <c:catAx>
        <c:axId val="571038433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982302182"/>
        <c:crosses val="autoZero"/>
        <c:lblOffset val="100"/>
      </c:catAx>
      <c:valAx>
        <c:axId val="98230218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571038433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测试通过数量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v>通过用例</c:v>
          </c:tx>
          <c:cat>
            <c:strRef>
              <c:f>'_Chart Helpers'!$L$2:$L$3</c:f>
              <c:strCache>
                <c:ptCount val="0"/>
              </c:strCache>
            </c:strRef>
          </c:cat>
          <c:val>
            <c:numRef>
              <c:f>'_Chart Helpers'!$M$2:$M$3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目标</c:v>
          </c:tx>
          <c:cat>
            <c:strRef>
              <c:f>'_Chart Helpers'!$L$2:$L$3</c:f>
              <c:strCache>
                <c:ptCount val="0"/>
              </c:strCache>
            </c:strRef>
          </c:cat>
          <c:val>
            <c:numRef>
              <c:f>'_Chart Helpers'!$N$2:$N$3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62807"/>
        <c:axId val="1313677059"/>
      </c:barChart>
      <c:catAx>
        <c:axId val="376762807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313677059"/>
        <c:crosses val="autoZero"/>
        <c:lblOffset val="100"/>
      </c:catAx>
      <c:valAx>
        <c:axId val="1313677059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376762807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各模块通过用例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1"/>
        <c:ser>
          <c:idx val="0"/>
          <c:order val="0"/>
          <c:tx>
            <c:v>通过数</c:v>
          </c:tx>
          <c:cat>
            <c:strRef>
              <c:f>'_Chart Helpers'!$P$2:$P$6</c:f>
              <c:strCache>
                <c:ptCount val="0"/>
              </c:strCache>
            </c:strRef>
          </c:cat>
          <c:val>
            <c:numRef>
              <c:f>'_Chart Helpers'!$Q$2:$Q$6</c:f>
              <c:numCache>
                <c:formatCode>#,##0;[Red]\(#,##0\);\-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2910587"/>
        <c:axId val="2009006557"/>
      </c:barChart>
      <c:catAx>
        <c:axId val="1442910587"/>
        <c:scaling>
          <c:orientation val="maxMin"/>
        </c:scaling>
        <c:delete val="0"/>
        <c:axPos val="l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2009006557"/>
        <c:crosses val="autoZero"/>
        <c:lblOffset val="100"/>
      </c:catAx>
      <c:valAx>
        <c:axId val="2009006557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442910587"/>
        <c:crosses val="max"/>
        <c:crossBetween val="between"/>
      </c:valAx>
      <c:spPr>
        <a:solidFill xmlns:a="http://schemas.openxmlformats.org/drawingml/2006/main">
          <a:srgbClr val="16212C"/>
        </a:solidFill>
      </c:spPr>
    </c:plotArea>
    <c:plotVisOnly val="1"/>
  </c:chart>
  <c:spPr>
    <a:solidFill xmlns:a="http://schemas.openxmlformats.org/drawingml/2006/main">
      <a:srgbClr val="16212C"/>
    </a:solidFill>
  </c:spPr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生产源码分布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pieChart>
        <c:ser>
          <c:idx val="0"/>
          <c:order val="0"/>
          <c:tx>
            <c:v>源文件数</c:v>
          </c:tx>
          <c:cat>
            <c:strRef>
              <c:f>'_Chart Helpers'!$S$2:$S$5</c:f>
              <c:strCache>
                <c:ptCount val="0"/>
              </c:strCache>
            </c:strRef>
          </c:cat>
          <c:val>
            <c:numRef>
              <c:f>'_Chart Helpers'!$T$2:$T$5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2ef10a90fd49bd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96e25d44ea4ea9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929b269a4840a0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858f7dc84046a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a9df145a8343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20" style="27" customWidth="1"/>
    <x:col min="3" max="5" width="11" style="27" customWidth="1"/>
    <x:col min="6" max="17" width="13" style="27" customWidth="1"/>
    <x:col min="18" max="16384" width="8.83203125" style="27" customWidth="0"/>
  </x:cols>
  <x:sheetData>
    <x:row r="2" ht="24" customHeight="1">
      <x:c r="B2" s="39" t="str">
        <x:v>Sync Listen 工程审查看板</x:v>
      </x:c>
      <x:c r="C2" s="39"/>
      <x:c r="D2" s="39"/>
      <x:c r="E2" s="39"/>
      <x:c r="F2" s="39"/>
      <x:c r="G2" s="39"/>
      <x:c r="H2" s="39"/>
      <x:c r="I2" s="39"/>
      <x:c r="J2" s="40" t="str">
        <x:v>验证阶段</x:v>
      </x:c>
      <x:c r="K2" s="41" t="s">
        <x:v>0</x:v>
      </x:c>
      <x:c r="L2" s="41" t="s">
        <x:v>0</x:v>
      </x:c>
      <x:c r="M2" s="42" t="s">
        <x:v>0</x:v>
      </x:c>
      <x:c r="N2" s="40" t="str">
        <x:v>记录日期</x:v>
      </x:c>
      <x:c r="O2" s="41" t="s">
        <x:v>1</x:v>
      </x:c>
      <x:c r="P2" s="41" t="s">
        <x:v>1</x:v>
      </x:c>
      <x:c r="Q2" s="42" t="s">
        <x:v>1</x:v>
      </x:c>
    </x:row>
    <x:row r="3" ht="24" customHeight="1">
      <x:c r="B3" s="38" t="str">
        <x:v>2026-09-16 / 本轮本机验证，不是产品用户数据</x:v>
      </x:c>
      <x:c r="C3" s="38"/>
      <x:c r="D3" s="38"/>
      <x:c r="E3" s="38"/>
      <x:c r="F3" s="38"/>
      <x:c r="G3" s="38"/>
      <x:c r="H3" s="38"/>
      <x:c r="I3" s="38"/>
      <x:c r="J3" s="43" t="str">
        <x:f>'Data &amp; Targets'!$C$9</x:f>
        <x:v>优化后</x:v>
      </x:c>
      <x:c r="K3" s="44"/>
      <x:c r="L3" s="44"/>
      <x:c r="M3" s="45"/>
      <x:c r="N3" s="43" t="str">
        <x:f>'Data &amp; Targets'!$C$10</x:f>
        <x:v>2026-09-16</x:v>
      </x:c>
      <x:c r="O3" s="44"/>
      <x:c r="P3" s="44"/>
      <x:c r="Q3" s="45"/>
    </x:row>
    <x:row r="4" ht="20" customHeight="1">
      <x:c r="B4" s="46" t="str">
        <x:f>"Source: "&amp;'Data &amp; Targets'!$C$11</x:f>
        <x:v>Source: 本轮 Vitest / Gradle XML 报告；docs/review-2026-09-16.md 与 docs/review/inventory.json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</x:row>
    <x:row r="5" ht="20" customHeight="1">
      <x:c r="B5" s="47" t="str">
        <x:v>执行用例</x:v>
      </x:c>
      <x:c r="C5" s="48" t="s">
        <x:v>2</x:v>
      </x:c>
      <x:c r="D5" s="48" t="s">
        <x:v>2</x:v>
      </x:c>
      <x:c r="E5" s="49" t="s">
        <x:v>2</x:v>
      </x:c>
      <x:c r="F5" s="47" t="str">
        <x:v>后端通过</x:v>
      </x:c>
      <x:c r="G5" s="48" t="s">
        <x:v>3</x:v>
      </x:c>
      <x:c r="H5" s="48" t="s">
        <x:v>3</x:v>
      </x:c>
      <x:c r="I5" s="49" t="s">
        <x:v>3</x:v>
      </x:c>
      <x:c r="J5" s="47" t="str">
        <x:v>Android通过率</x:v>
      </x:c>
      <x:c r="K5" s="48" t="s">
        <x:v>4</x:v>
      </x:c>
      <x:c r="L5" s="48" t="s">
        <x:v>4</x:v>
      </x:c>
      <x:c r="M5" s="49" t="s">
        <x:v>4</x:v>
      </x:c>
      <x:c r="N5" s="47" t="str">
        <x:v>shared通过率</x:v>
      </x:c>
      <x:c r="O5" s="48" t="s">
        <x:v>5</x:v>
      </x:c>
      <x:c r="P5" s="48" t="s">
        <x:v>5</x:v>
      </x:c>
      <x:c r="Q5" s="49" t="s">
        <x:v>5</x:v>
      </x:c>
    </x:row>
    <x:row r="6" ht="27" customHeight="1">
      <x:c r="B6" s="96" t="n">
        <x:f>'_Chart Helpers'!$B$2</x:f>
        <x:v>134</x:v>
      </x:c>
      <x:c r="C6" s="51"/>
      <x:c r="D6" s="51"/>
      <x:c r="E6" s="52"/>
      <x:c r="F6" s="96" t="n">
        <x:f>'_Chart Helpers'!$B$3</x:f>
        <x:v>39</x:v>
      </x:c>
      <x:c r="G6" s="51"/>
      <x:c r="H6" s="51"/>
      <x:c r="I6" s="52"/>
      <x:c r="J6" s="99" t="n">
        <x:f>'_Chart Helpers'!$B$4</x:f>
        <x:v>1</x:v>
      </x:c>
      <x:c r="K6" s="54"/>
      <x:c r="L6" s="54"/>
      <x:c r="M6" s="55"/>
      <x:c r="N6" s="99" t="n">
        <x:f>'_Chart Helpers'!$B$5</x:f>
        <x:v>1</x:v>
      </x:c>
      <x:c r="O6" s="54"/>
      <x:c r="P6" s="54"/>
      <x:c r="Q6" s="55"/>
    </x:row>
    <x:row r="7" ht="27" customHeight="1">
      <x:c r="B7" s="50"/>
      <x:c r="C7" s="51"/>
      <x:c r="D7" s="51"/>
      <x:c r="E7" s="52"/>
      <x:c r="F7" s="50"/>
      <x:c r="G7" s="51"/>
      <x:c r="H7" s="51"/>
      <x:c r="I7" s="52"/>
      <x:c r="J7" s="53"/>
      <x:c r="K7" s="54"/>
      <x:c r="L7" s="54"/>
      <x:c r="M7" s="55"/>
      <x:c r="N7" s="53"/>
      <x:c r="O7" s="54"/>
      <x:c r="P7" s="54"/>
      <x:c r="Q7" s="55"/>
    </x:row>
    <x:row r="8" ht="20" customHeight="1">
      <x:c r="B8" s="13" t="n">
        <x:f>IF(OR('_Chart Helpers'!$D2="",'_Chart Helpers'!$D2=0),"",'_Chart Helpers'!$B2/'_Chart Helpers'!$D2-1)</x:f>
        <x:v>0.26415094339622636</x:v>
      </x:c>
      <x:c r="C8" s="14" t="s">
        <x:v>6</x:v>
      </x:c>
      <x:c r="D8" s="15" t="n">
        <x:f>IFERROR('_Chart Helpers'!$B$2/'_Chart Helpers'!$C$2-1,"")</x:f>
        <x:v>0</x:v>
      </x:c>
      <x:c r="E8" s="16" t="s">
        <x:v>7</x:v>
      </x:c>
      <x:c r="F8" s="13" t="n">
        <x:f>IF(OR('_Chart Helpers'!$D3="",'_Chart Helpers'!$D3=0),"",'_Chart Helpers'!$B3/'_Chart Helpers'!$D3-1)</x:f>
        <x:v>0.8571428571428572</x:v>
      </x:c>
      <x:c r="G8" s="14" t="s">
        <x:v>6</x:v>
      </x:c>
      <x:c r="H8" s="15" t="n">
        <x:f>IFERROR('_Chart Helpers'!$B$3/'_Chart Helpers'!$C$3-1,"")</x:f>
        <x:v>0</x:v>
      </x:c>
      <x:c r="I8" s="16" t="s">
        <x:v>7</x:v>
      </x:c>
      <x:c r="J8" s="13" t="n">
        <x:f>IF(OR('_Chart Helpers'!$D4="",'_Chart Helpers'!$D4=0),"",'_Chart Helpers'!$B4/'_Chart Helpers'!$D4-1)</x:f>
        <x:v>0.012345679012345734</x:v>
      </x:c>
      <x:c r="K8" s="14" t="s">
        <x:v>6</x:v>
      </x:c>
      <x:c r="L8" s="15" t="n">
        <x:f>IFERROR('_Chart Helpers'!$B$4/'_Chart Helpers'!$C$4-1,"")</x:f>
        <x:v>0</x:v>
      </x:c>
      <x:c r="M8" s="16" t="s">
        <x:v>7</x:v>
      </x:c>
      <x:c r="N8" s="13" t="str">
        <x:f>IF(OR('_Chart Helpers'!$D5="",'_Chart Helpers'!$D5=0),"",'_Chart Helpers'!$B5/'_Chart Helpers'!$D5-1)</x:f>
      </x:c>
      <x:c r="O8" s="14" t="s">
        <x:v>6</x:v>
      </x:c>
      <x:c r="P8" s="15" t="n">
        <x:f>IFERROR('_Chart Helpers'!$B$5/'_Chart Helpers'!$C$5-1,"")</x:f>
        <x:v>0</x:v>
      </x:c>
      <x:c r="Q8" s="16" t="s">
        <x:v>7</x:v>
      </x:c>
    </x:row>
    <x:row r="9"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0" customHeight="1">
      <x:c r="B10" s="47" t="str">
        <x:v>桌面通过</x:v>
      </x:c>
      <x:c r="C10" s="48" t="s">
        <x:v>8</x:v>
      </x:c>
      <x:c r="D10" s="48" t="s">
        <x:v>8</x:v>
      </x:c>
      <x:c r="E10" s="49" t="s">
        <x:v>8</x:v>
      </x:c>
      <x:c r="F10" s="47" t="str">
        <x:v>通过总数</x:v>
      </x:c>
      <x:c r="G10" s="48" t="s">
        <x:v>9</x:v>
      </x:c>
      <x:c r="H10" s="48" t="s">
        <x:v>9</x:v>
      </x:c>
      <x:c r="I10" s="49" t="s">
        <x:v>9</x:v>
      </x:c>
      <x:c r="J10" s="47" t="str">
        <x:v>失败用例</x:v>
      </x:c>
      <x:c r="K10" s="48" t="s">
        <x:v>10</x:v>
      </x:c>
      <x:c r="L10" s="48" t="s">
        <x:v>10</x:v>
      </x:c>
      <x:c r="M10" s="49" t="s">
        <x:v>10</x:v>
      </x:c>
      <x:c r="N10" s="47" t="str">
        <x:v>总体通过率</x:v>
      </x:c>
      <x:c r="O10" s="48" t="s">
        <x:v>11</x:v>
      </x:c>
      <x:c r="P10" s="48" t="s">
        <x:v>11</x:v>
      </x:c>
      <x:c r="Q10" s="49" t="s">
        <x:v>11</x:v>
      </x:c>
    </x:row>
    <x:row r="11" ht="27" customHeight="1">
      <x:c r="B11" s="96" t="n">
        <x:f>'_Chart Helpers'!$B$6</x:f>
        <x:v>4</x:v>
      </x:c>
      <x:c r="C11" s="79"/>
      <x:c r="D11" s="79"/>
      <x:c r="E11" s="80"/>
      <x:c r="F11" s="96" t="n">
        <x:f>'_Chart Helpers'!$B$7</x:f>
        <x:v>134</x:v>
      </x:c>
      <x:c r="G11" s="82"/>
      <x:c r="H11" s="82"/>
      <x:c r="I11" s="83"/>
      <x:c r="J11" s="96" t="n">
        <x:f>'_Chart Helpers'!$B$8</x:f>
        <x:v>0</x:v>
      </x:c>
      <x:c r="K11" s="54"/>
      <x:c r="L11" s="54"/>
      <x:c r="M11" s="55"/>
      <x:c r="N11" s="99" t="n">
        <x:f>'_Chart Helpers'!$B$9</x:f>
        <x:v>1</x:v>
      </x:c>
      <x:c r="O11" s="76"/>
      <x:c r="P11" s="76"/>
      <x:c r="Q11" s="77"/>
    </x:row>
    <x:row r="12" ht="27" customHeight="1">
      <x:c r="B12" s="78"/>
      <x:c r="C12" s="79"/>
      <x:c r="D12" s="79"/>
      <x:c r="E12" s="80"/>
      <x:c r="F12" s="81"/>
      <x:c r="G12" s="82"/>
      <x:c r="H12" s="82"/>
      <x:c r="I12" s="83"/>
      <x:c r="J12" s="53"/>
      <x:c r="K12" s="54"/>
      <x:c r="L12" s="54"/>
      <x:c r="M12" s="55"/>
      <x:c r="N12" s="75"/>
      <x:c r="O12" s="76"/>
      <x:c r="P12" s="76"/>
      <x:c r="Q12" s="77"/>
    </x:row>
    <x:row r="13" ht="20" customHeight="1">
      <x:c r="B13" s="13" t="str">
        <x:f>IF(OR('_Chart Helpers'!$D6="",'_Chart Helpers'!$D6=0),"",'_Chart Helpers'!$B6/'_Chart Helpers'!$D6-1)</x:f>
      </x:c>
      <x:c r="C13" s="14" t="s">
        <x:v>6</x:v>
      </x:c>
      <x:c r="D13" s="15" t="n">
        <x:f>IFERROR('_Chart Helpers'!$B$6/'_Chart Helpers'!$C$6-1,"")</x:f>
        <x:v>0</x:v>
      </x:c>
      <x:c r="E13" s="16" t="s">
        <x:v>7</x:v>
      </x:c>
      <x:c r="F13" s="13" t="n">
        <x:f>IF(OR('_Chart Helpers'!$D7="",'_Chart Helpers'!$D7=0),"",'_Chart Helpers'!$B7/'_Chart Helpers'!$D7-1)</x:f>
        <x:v>0.3137254901960784</x:v>
      </x:c>
      <x:c r="G13" s="14" t="s">
        <x:v>6</x:v>
      </x:c>
      <x:c r="H13" s="15" t="n">
        <x:f>IFERROR('_Chart Helpers'!$B$7/'_Chart Helpers'!$C$7-1,"")</x:f>
        <x:v>0</x:v>
      </x:c>
      <x:c r="I13" s="16" t="s">
        <x:v>7</x:v>
      </x:c>
      <x:c r="J13" s="13" t="n">
        <x:f>IF(OR('_Chart Helpers'!$D8="",'_Chart Helpers'!$D8=0),"",'_Chart Helpers'!$B8/'_Chart Helpers'!$D8-1)</x:f>
        <x:v>-1</x:v>
      </x:c>
      <x:c r="K13" s="14" t="s">
        <x:v>6</x:v>
      </x:c>
      <x:c r="L13" s="15" t="str">
        <x:f>IFERROR('_Chart Helpers'!$B$8/'_Chart Helpers'!$C$8-1,"")</x:f>
      </x:c>
      <x:c r="M13" s="16" t="s">
        <x:v>7</x:v>
      </x:c>
      <x:c r="N13" s="13" t="n">
        <x:f>IF(OR('_Chart Helpers'!$D9="",'_Chart Helpers'!$D9=0),"",'_Chart Helpers'!$B9/'_Chart Helpers'!$D9-1)</x:f>
        <x:v>0.03921568627450989</x:v>
      </x:c>
      <x:c r="O13" s="14" t="s">
        <x:v>6</x:v>
      </x:c>
      <x:c r="P13" s="15" t="n">
        <x:f>IFERROR('_Chart Helpers'!$B$9/'_Chart Helpers'!$C$9-1,"")</x:f>
        <x:v>0</x:v>
      </x:c>
      <x:c r="Q13" s="16" t="s">
        <x:v>7</x:v>
      </x:c>
    </x:row>
    <x:row r="14"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2" customHeight="1">
      <x:c r="B15" s="56" t="str">
        <x:v>用例数量：基线与优化后</x:v>
      </x:c>
      <x:c r="C15" s="56" t="s">
        <x:v>12</x:v>
      </x:c>
      <x:c r="D15" s="56" t="s">
        <x:v>12</x:v>
      </x:c>
      <x:c r="E15" s="56" t="s">
        <x:v>12</x:v>
      </x:c>
      <x:c r="F15" s="56" t="s">
        <x:v>12</x:v>
      </x:c>
      <x:c r="G15" s="56" t="s">
        <x:v>12</x:v>
      </x:c>
      <x:c r="H15" s="56" t="s">
        <x:v>12</x:v>
      </x:c>
      <x:c r="I15" s="56" t="s">
        <x:v>12</x:v>
      </x:c>
      <x:c r="J15" s="56" t="str">
        <x:v>通过用例与测试总数</x:v>
      </x:c>
      <x:c r="K15" s="56" t="s">
        <x:v>13</x:v>
      </x:c>
      <x:c r="L15" s="56" t="s">
        <x:v>13</x:v>
      </x:c>
      <x:c r="M15" s="56" t="s">
        <x:v>13</x:v>
      </x:c>
      <x:c r="N15" s="56" t="s">
        <x:v>13</x:v>
      </x:c>
      <x:c r="O15" s="56" t="s">
        <x:v>13</x:v>
      </x:c>
      <x:c r="P15" s="56" t="s">
        <x:v>13</x:v>
      </x:c>
      <x:c r="Q15" s="56" t="s">
        <x:v>13</x:v>
      </x:c>
    </x:row>
    <x:row r="16"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2" customHeight="1">
      <x:c r="B29" s="56" t="str">
        <x:v>各模块通过用例</x:v>
      </x:c>
      <x:c r="C29" s="56" t="s">
        <x:v>14</x:v>
      </x:c>
      <x:c r="D29" s="56" t="s">
        <x:v>14</x:v>
      </x:c>
      <x:c r="E29" s="56" t="s">
        <x:v>14</x:v>
      </x:c>
      <x:c r="F29" s="56" t="s">
        <x:v>14</x:v>
      </x:c>
      <x:c r="G29" s="56" t="s">
        <x:v>14</x:v>
      </x:c>
      <x:c r="H29" s="56" t="s">
        <x:v>14</x:v>
      </x:c>
      <x:c r="I29" s="56" t="s">
        <x:v>14</x:v>
      </x:c>
      <x:c r="J29" s="56" t="str">
        <x:v>生产源码分布</x:v>
      </x:c>
      <x:c r="K29" s="56" t="s">
        <x:v>15</x:v>
      </x:c>
      <x:c r="L29" s="56" t="s">
        <x:v>15</x:v>
      </x:c>
      <x:c r="M29" s="56" t="s">
        <x:v>15</x:v>
      </x:c>
      <x:c r="N29" s="56" t="s">
        <x:v>15</x:v>
      </x:c>
      <x:c r="O29" s="56" t="s">
        <x:v>15</x:v>
      </x:c>
      <x:c r="P29" s="56" t="s">
        <x:v>15</x:v>
      </x:c>
      <x:c r="Q29" s="56" t="s">
        <x:v>15</x:v>
      </x:c>
    </x:row>
    <x:row r="30"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2" customHeight="1">
      <x:c r="B43" s="56" t="str">
        <x:v>本轮测试结果</x:v>
      </x:c>
      <x:c r="C43" s="56" t="s">
        <x:v>16</x:v>
      </x:c>
      <x:c r="D43" s="56" t="s">
        <x:v>16</x:v>
      </x:c>
      <x:c r="E43" s="56" t="s">
        <x:v>16</x:v>
      </x:c>
      <x:c r="F43" s="56" t="s">
        <x:v>16</x:v>
      </x:c>
      <x:c r="G43" s="56" t="s">
        <x:v>16</x:v>
      </x:c>
      <x:c r="H43" s="56" t="s">
        <x:v>16</x:v>
      </x:c>
      <x:c r="I43" s="56" t="s">
        <x:v>16</x:v>
      </x:c>
      <x:c r="J43" s="56" t="str">
        <x:v>验收解读</x:v>
      </x:c>
      <x:c r="K43" s="56" t="s">
        <x:v>16</x:v>
      </x:c>
      <x:c r="L43" s="56" t="s">
        <x:v>16</x:v>
      </x:c>
      <x:c r="M43" s="56" t="s">
        <x:v>16</x:v>
      </x:c>
      <x:c r="N43" s="56" t="s">
        <x:v>16</x:v>
      </x:c>
      <x:c r="O43" s="56" t="s">
        <x:v>16</x:v>
      </x:c>
      <x:c r="P43" s="56" t="s">
        <x:v>16</x:v>
      </x:c>
      <x:c r="Q43" s="56" t="s">
        <x:v>16</x:v>
      </x:c>
    </x:row>
    <x:row r="44" ht="26" customHeight="1">
      <x:c r="B44" s="17" t="s">
        <x:v>17</x:v>
      </x:c>
      <x:c r="C44" s="17" t="s">
        <x:v>18</x:v>
      </x:c>
      <x:c r="D44" s="17" t="s">
        <x:v>19</x:v>
      </x:c>
      <x:c r="E44" s="17" t="s">
        <x:v>20</x:v>
      </x:c>
      <x:c r="F44" s="17" t="s">
        <x:v>21</x:v>
      </x:c>
      <x:c r="G44" s="17" t="s">
        <x:v>22</x:v>
      </x:c>
      <x:c r="H44" s="17" t="s">
        <x:v>23</x:v>
      </x:c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>
      <x:c r="B45" s="18" t="str">
        <x:f>'_Chart Helpers'!$A$2</x:f>
        <x:v>执行用例</x:v>
      </x:c>
      <x:c r="C45" s="19" t="str">
        <x:f>'_Chart Helpers'!$E$2</x:f>
        <x:v>Higher</x:v>
      </x:c>
      <x:c r="D45" s="97" t="n">
        <x:f>'_Chart Helpers'!$B$2</x:f>
        <x:v>134</x:v>
      </x:c>
      <x:c r="E45" s="97" t="n">
        <x:f>'_Chart Helpers'!$C$2</x:f>
        <x:v>134</x:v>
      </x:c>
      <x:c r="F45" s="97" t="n">
        <x:f t="shared" ref="F45:F52" si="0">D45-E45</x:f>
        <x:v>0</x:v>
      </x:c>
      <x:c r="G45" s="21" t="n">
        <x:f t="shared" ref="G45:G52" si="1">IF(E45=0,"",D45/E45-1)</x:f>
        <x:v>0</x:v>
      </x:c>
      <x:c r="H45" s="19" t="str">
        <x:f>'_Chart Helpers'!F2</x:f>
        <x:v>Pass</x:v>
      </x:c>
      <x:c r="I45" s="12"/>
      <x:c r="J45" s="57" t="str">
        <x:v>所有验收目标来自当前测试套件。测试通过不等于没有缺陷；模拟器、真机与声学验证需单独阅读测试报告。</x:v>
      </x:c>
      <x:c r="K45" s="58" t="s">
        <x:v>24</x:v>
      </x:c>
      <x:c r="L45" s="58" t="s">
        <x:v>24</x:v>
      </x:c>
      <x:c r="M45" s="58" t="s">
        <x:v>24</x:v>
      </x:c>
      <x:c r="N45" s="58" t="s">
        <x:v>24</x:v>
      </x:c>
      <x:c r="O45" s="58" t="s">
        <x:v>24</x:v>
      </x:c>
      <x:c r="P45" s="58" t="s">
        <x:v>24</x:v>
      </x:c>
      <x:c r="Q45" s="59" t="s">
        <x:v>24</x:v>
      </x:c>
    </x:row>
    <x:row r="46">
      <x:c r="B46" s="18" t="str">
        <x:f>'_Chart Helpers'!$A$3</x:f>
        <x:v>后端通过</x:v>
      </x:c>
      <x:c r="C46" s="19" t="str">
        <x:f>'_Chart Helpers'!$E$3</x:f>
        <x:v>Higher</x:v>
      </x:c>
      <x:c r="D46" s="97" t="n">
        <x:f>'_Chart Helpers'!$B$3</x:f>
        <x:v>39</x:v>
      </x:c>
      <x:c r="E46" s="97" t="n">
        <x:f>'_Chart Helpers'!$C$3</x:f>
        <x:v>39</x:v>
      </x:c>
      <x:c r="F46" s="97" t="n">
        <x:f t="shared" si="0">D46-E46</x:f>
        <x:v>0</x:v>
      </x:c>
      <x:c r="G46" s="21" t="n">
        <x:f t="shared" si="1">IF(E46=0,"",D46/E46-1)</x:f>
        <x:v>0</x:v>
      </x:c>
      <x:c r="H46" s="19" t="str">
        <x:f>'_Chart Helpers'!F3</x:f>
        <x:v>Pass</x:v>
      </x:c>
      <x:c r="I46" s="12"/>
      <x:c r="J46" s="60" t="s">
        <x:v>24</x:v>
      </x:c>
      <x:c r="K46" s="61" t="s">
        <x:v>24</x:v>
      </x:c>
      <x:c r="L46" s="61" t="s">
        <x:v>24</x:v>
      </x:c>
      <x:c r="M46" s="61" t="s">
        <x:v>24</x:v>
      </x:c>
      <x:c r="N46" s="61" t="s">
        <x:v>24</x:v>
      </x:c>
      <x:c r="O46" s="61" t="s">
        <x:v>24</x:v>
      </x:c>
      <x:c r="P46" s="61" t="s">
        <x:v>24</x:v>
      </x:c>
      <x:c r="Q46" s="62" t="s">
        <x:v>24</x:v>
      </x:c>
    </x:row>
    <x:row r="47">
      <x:c r="B47" s="18" t="str">
        <x:f>'_Chart Helpers'!$A$4</x:f>
        <x:v>Android通过率</x:v>
      </x:c>
      <x:c r="C47" s="19" t="str">
        <x:f>'_Chart Helpers'!$E$4</x:f>
        <x:v>Higher</x:v>
      </x:c>
      <x:c r="D47" s="100" t="n">
        <x:f>'_Chart Helpers'!$B$4</x:f>
        <x:v>1</x:v>
      </x:c>
      <x:c r="E47" s="100" t="n">
        <x:f>'_Chart Helpers'!$C$4</x:f>
        <x:v>1</x:v>
      </x:c>
      <x:c r="F47" s="100" t="n">
        <x:f t="shared" si="0">D47-E47</x:f>
        <x:v>0</x:v>
      </x:c>
      <x:c r="G47" s="21" t="n">
        <x:f t="shared" si="1">IF(E47=0,"",D47/E47-1)</x:f>
        <x:v>0</x:v>
      </x:c>
      <x:c r="H47" s="19" t="str">
        <x:f>'_Chart Helpers'!F4</x:f>
        <x:v>Pass</x:v>
      </x:c>
      <x:c r="I47" s="12"/>
      <x:c r="J47" s="60" t="s">
        <x:v>24</x:v>
      </x:c>
      <x:c r="K47" s="61" t="s">
        <x:v>24</x:v>
      </x:c>
      <x:c r="L47" s="61" t="s">
        <x:v>24</x:v>
      </x:c>
      <x:c r="M47" s="61" t="s">
        <x:v>24</x:v>
      </x:c>
      <x:c r="N47" s="61" t="s">
        <x:v>24</x:v>
      </x:c>
      <x:c r="O47" s="61" t="s">
        <x:v>24</x:v>
      </x:c>
      <x:c r="P47" s="61" t="s">
        <x:v>24</x:v>
      </x:c>
      <x:c r="Q47" s="62" t="s">
        <x:v>24</x:v>
      </x:c>
    </x:row>
    <x:row r="48">
      <x:c r="B48" s="18" t="str">
        <x:f>'_Chart Helpers'!$A$5</x:f>
        <x:v>shared通过率</x:v>
      </x:c>
      <x:c r="C48" s="19" t="str">
        <x:f>'_Chart Helpers'!$E$5</x:f>
        <x:v>Higher</x:v>
      </x:c>
      <x:c r="D48" s="100" t="n">
        <x:f>'_Chart Helpers'!$B$5</x:f>
        <x:v>1</x:v>
      </x:c>
      <x:c r="E48" s="100" t="n">
        <x:f>'_Chart Helpers'!$C$5</x:f>
        <x:v>1</x:v>
      </x:c>
      <x:c r="F48" s="100" t="n">
        <x:f t="shared" si="0">D48-E48</x:f>
        <x:v>0</x:v>
      </x:c>
      <x:c r="G48" s="21" t="n">
        <x:f t="shared" si="1">IF(E48=0,"",D48/E48-1)</x:f>
        <x:v>0</x:v>
      </x:c>
      <x:c r="H48" s="19" t="str">
        <x:f>'_Chart Helpers'!F5</x:f>
        <x:v>Pass</x:v>
      </x:c>
      <x:c r="I48" s="12"/>
      <x:c r="J48" s="63" t="s">
        <x:v>24</x:v>
      </x:c>
      <x:c r="K48" s="64" t="s">
        <x:v>24</x:v>
      </x:c>
      <x:c r="L48" s="64" t="s">
        <x:v>24</x:v>
      </x:c>
      <x:c r="M48" s="64" t="s">
        <x:v>24</x:v>
      </x:c>
      <x:c r="N48" s="64" t="s">
        <x:v>24</x:v>
      </x:c>
      <x:c r="O48" s="64" t="s">
        <x:v>24</x:v>
      </x:c>
      <x:c r="P48" s="64" t="s">
        <x:v>24</x:v>
      </x:c>
      <x:c r="Q48" s="65" t="s">
        <x:v>24</x:v>
      </x:c>
    </x:row>
    <x:row r="49">
      <x:c r="B49" s="18" t="str">
        <x:f>'_Chart Helpers'!$A$6</x:f>
        <x:v>桌面通过</x:v>
      </x:c>
      <x:c r="C49" s="19" t="str">
        <x:f>'_Chart Helpers'!$E$6</x:f>
        <x:v>Higher</x:v>
      </x:c>
      <x:c r="D49" s="97" t="n">
        <x:f>'_Chart Helpers'!$B$6</x:f>
        <x:v>4</x:v>
      </x:c>
      <x:c r="E49" s="97" t="n">
        <x:f>'_Chart Helpers'!$C$6</x:f>
        <x:v>4</x:v>
      </x:c>
      <x:c r="F49" s="97" t="n">
        <x:f t="shared" si="0">D49-E49</x:f>
        <x:v>0</x:v>
      </x:c>
      <x:c r="G49" s="21" t="n">
        <x:f t="shared" si="1">IF(E49=0,"",D49/E49-1)</x:f>
        <x:v>0</x:v>
      </x:c>
      <x:c r="H49" s="19" t="str">
        <x:f>'_Chart Helpers'!F6</x:f>
        <x:v>Pass</x:v>
      </x:c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>
      <x:c r="B50" s="18" t="str">
        <x:f>'_Chart Helpers'!$A$7</x:f>
        <x:v>通过总数</x:v>
      </x:c>
      <x:c r="C50" s="19" t="str">
        <x:f>'_Chart Helpers'!$E$7</x:f>
        <x:v>Higher</x:v>
      </x:c>
      <x:c r="D50" s="97" t="n">
        <x:f>'_Chart Helpers'!$B$7</x:f>
        <x:v>134</x:v>
      </x:c>
      <x:c r="E50" s="97" t="n">
        <x:f>'_Chart Helpers'!$C$7</x:f>
        <x:v>134</x:v>
      </x:c>
      <x:c r="F50" s="97" t="n">
        <x:f t="shared" si="0">D50-E50</x:f>
        <x:v>0</x:v>
      </x:c>
      <x:c r="G50" s="21" t="n">
        <x:f t="shared" si="1">IF(E50=0,"",D50/E50-1)</x:f>
        <x:v>0</x:v>
      </x:c>
      <x:c r="H50" s="19" t="str">
        <x:f>'_Chart Helpers'!F7</x:f>
        <x:v>Pass</x:v>
      </x:c>
      <x:c r="I50" s="12"/>
      <x:c r="J50" s="66" t="str">
        <x:v>基线 shared/desktop 未配置测试；不计算不存在的历史通过率。</x:v>
      </x:c>
      <x:c r="K50" s="67" t="s">
        <x:v>25</x:v>
      </x:c>
      <x:c r="L50" s="67" t="s">
        <x:v>25</x:v>
      </x:c>
      <x:c r="M50" s="67" t="s">
        <x:v>25</x:v>
      </x:c>
      <x:c r="N50" s="67" t="s">
        <x:v>25</x:v>
      </x:c>
      <x:c r="O50" s="67" t="s">
        <x:v>25</x:v>
      </x:c>
      <x:c r="P50" s="67" t="s">
        <x:v>25</x:v>
      </x:c>
      <x:c r="Q50" s="68" t="s">
        <x:v>25</x:v>
      </x:c>
    </x:row>
    <x:row r="51">
      <x:c r="B51" s="18" t="str">
        <x:f>'_Chart Helpers'!$A$8</x:f>
        <x:v>失败用例</x:v>
      </x:c>
      <x:c r="C51" s="19" t="str">
        <x:f>'_Chart Helpers'!$E$8</x:f>
        <x:v>Lower</x:v>
      </x:c>
      <x:c r="D51" s="97" t="n">
        <x:f>'_Chart Helpers'!$B$8</x:f>
        <x:v>0</x:v>
      </x:c>
      <x:c r="E51" s="97" t="n">
        <x:f>'_Chart Helpers'!$C$8</x:f>
        <x:v>0</x:v>
      </x:c>
      <x:c r="F51" s="97" t="n">
        <x:f t="shared" si="0">D51-E51</x:f>
        <x:v>0</x:v>
      </x:c>
      <x:c r="G51" s="21" t="str">
        <x:f t="shared" si="1">IF(E51=0,"",D51/E51-1)</x:f>
      </x:c>
      <x:c r="H51" s="19" t="str">
        <x:f>'_Chart Helpers'!F8</x:f>
        <x:v>Pass</x:v>
      </x:c>
      <x:c r="I51" s="12"/>
      <x:c r="J51" s="69" t="s">
        <x:v>25</x:v>
      </x:c>
      <x:c r="K51" s="70" t="s">
        <x:v>25</x:v>
      </x:c>
      <x:c r="L51" s="70" t="s">
        <x:v>25</x:v>
      </x:c>
      <x:c r="M51" s="70" t="s">
        <x:v>25</x:v>
      </x:c>
      <x:c r="N51" s="70" t="s">
        <x:v>25</x:v>
      </x:c>
      <x:c r="O51" s="70" t="s">
        <x:v>25</x:v>
      </x:c>
      <x:c r="P51" s="70" t="s">
        <x:v>25</x:v>
      </x:c>
      <x:c r="Q51" s="71" t="s">
        <x:v>25</x:v>
      </x:c>
    </x:row>
    <x:row r="52">
      <x:c r="B52" s="18" t="str">
        <x:f>'_Chart Helpers'!$A$9</x:f>
        <x:v>总体通过率</x:v>
      </x:c>
      <x:c r="C52" s="19" t="str">
        <x:f>'_Chart Helpers'!$E$9</x:f>
        <x:v>Higher</x:v>
      </x:c>
      <x:c r="D52" s="100" t="n">
        <x:f>'_Chart Helpers'!$B$9</x:f>
        <x:v>1</x:v>
      </x:c>
      <x:c r="E52" s="100" t="n">
        <x:f>'_Chart Helpers'!$C$9</x:f>
        <x:v>1</x:v>
      </x:c>
      <x:c r="F52" s="100" t="n">
        <x:f t="shared" si="0">D52-E52</x:f>
        <x:v>0</x:v>
      </x:c>
      <x:c r="G52" s="21" t="n">
        <x:f t="shared" si="1">IF(E52=0,"",D52/E52-1)</x:f>
        <x:v>0</x:v>
      </x:c>
      <x:c r="H52" s="19" t="str">
        <x:f>'_Chart Helpers'!F9</x:f>
        <x:v>Pass</x:v>
      </x:c>
      <x:c r="I52" s="12"/>
      <x:c r="J52" s="72" t="s">
        <x:v>25</x:v>
      </x:c>
      <x:c r="K52" s="73" t="s">
        <x:v>25</x:v>
      </x:c>
      <x:c r="L52" s="73" t="s">
        <x:v>25</x:v>
      </x:c>
      <x:c r="M52" s="73" t="s">
        <x:v>25</x:v>
      </x:c>
      <x:c r="N52" s="73" t="s">
        <x:v>25</x:v>
      </x:c>
      <x:c r="O52" s="73" t="s">
        <x:v>25</x:v>
      </x:c>
      <x:c r="P52" s="73" t="s">
        <x:v>25</x:v>
      </x:c>
      <x:c r="Q52" s="74" t="s">
        <x:v>25</x:v>
      </x:c>
    </x:row>
    <x:row r="53"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17a9df145a8343b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17" style="27" customWidth="1"/>
    <x:col min="6" max="6" width="18" style="27" customWidth="1"/>
    <x:col min="7" max="8" width="15" style="27" customWidth="1"/>
    <x:col min="9" max="9" width="14" style="27" customWidth="1"/>
    <x:col min="10" max="10" width="16" style="27" customWidth="1"/>
    <x:col min="11" max="11" width="15" style="27" customWidth="1"/>
    <x:col min="12" max="15" width="16" style="27" customWidth="1"/>
    <x:col min="16" max="16" width="15" style="27" customWidth="1"/>
    <x:col min="17" max="16384" width="8.83203125" style="27" customWidth="0"/>
  </x:cols>
  <x:sheetData>
    <x:row r="2" ht="26" customHeight="1">
      <x:c r="B2" s="36" t="str">
        <x:v>Sync Listen 工程审查看板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3" ht="26" customHeight="1">
      <x:c r="B3" s="38" t="str">
        <x:v>审查输入与验证目标</x:v>
      </x:c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</x:row>
    <x:row r="4"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 ht="22" customHeight="1">
      <x:c r="B5" s="87" t="str">
        <x:v>阅读方法</x:v>
      </x:c>
      <x:c r="C5" s="87" t="s">
        <x:v>26</x:v>
      </x:c>
      <x:c r="D5" s="87" t="s">
        <x:v>26</x:v>
      </x:c>
      <x:c r="E5" s="87" t="s">
        <x:v>26</x:v>
      </x:c>
      <x:c r="F5" s="87" t="s">
        <x:v>26</x:v>
      </x:c>
      <x:c r="G5" s="87" t="s">
        <x:v>26</x:v>
      </x:c>
      <x:c r="H5" s="87" t="s">
        <x:v>26</x:v>
      </x:c>
      <x:c r="I5" s="87" t="s">
        <x:v>26</x:v>
      </x:c>
      <x:c r="J5" s="87" t="s">
        <x:v>26</x:v>
      </x:c>
      <x:c r="K5" s="87" t="s">
        <x:v>26</x:v>
      </x:c>
      <x:c r="L5" s="87" t="s">
        <x:v>26</x:v>
      </x:c>
      <x:c r="M5" s="87" t="s">
        <x:v>26</x:v>
      </x:c>
      <x:c r="N5" s="87" t="s">
        <x:v>26</x:v>
      </x:c>
      <x:c r="O5" s="87" t="s">
        <x:v>26</x:v>
      </x:c>
      <x:c r="P5" s="87" t="s">
        <x:v>26</x:v>
      </x:c>
    </x:row>
    <x:row r="6" ht="22" customHeight="1">
      <x:c r="B6" s="88" t="str">
        <x:v>基线来自本轮首次运行；优化后来自本轮最终单元/集成测试。用例数量不等于代码覆盖率。</x:v>
      </x:c>
      <x:c r="C6" s="88" t="s">
        <x:v>27</x:v>
      </x:c>
      <x:c r="D6" s="88" t="s">
        <x:v>27</x:v>
      </x:c>
      <x:c r="E6" s="88" t="s">
        <x:v>27</x:v>
      </x:c>
      <x:c r="F6" s="88" t="s">
        <x:v>27</x:v>
      </x:c>
      <x:c r="G6" s="88" t="s">
        <x:v>27</x:v>
      </x:c>
      <x:c r="H6" s="88" t="s">
        <x:v>27</x:v>
      </x:c>
      <x:c r="I6" s="88" t="s">
        <x:v>27</x:v>
      </x:c>
      <x:c r="J6" s="88" t="s">
        <x:v>27</x:v>
      </x:c>
      <x:c r="K6" s="88" t="s">
        <x:v>27</x:v>
      </x:c>
      <x:c r="L6" s="88" t="s">
        <x:v>27</x:v>
      </x:c>
      <x:c r="M6" s="88" t="s">
        <x:v>27</x:v>
      </x:c>
      <x:c r="N6" s="88" t="s">
        <x:v>27</x:v>
      </x:c>
      <x:c r="O6" s="88" t="s">
        <x:v>27</x:v>
      </x:c>
      <x:c r="P6" s="88" t="s">
        <x:v>27</x:v>
      </x:c>
    </x:row>
    <x:row r="7" ht="22" customHeight="1">
      <x:c r="B7" s="88" t="str">
        <x:v>保留模板布局与三张表；原业务指标改为工程指标。没有真实用户、留存或收入数据。</x:v>
      </x:c>
      <x:c r="C7" s="88" t="s">
        <x:v>28</x:v>
      </x:c>
      <x:c r="D7" s="88" t="s">
        <x:v>28</x:v>
      </x:c>
      <x:c r="E7" s="88" t="s">
        <x:v>28</x:v>
      </x:c>
      <x:c r="F7" s="88" t="s">
        <x:v>28</x:v>
      </x:c>
      <x:c r="G7" s="88" t="s">
        <x:v>28</x:v>
      </x:c>
      <x:c r="H7" s="88" t="s">
        <x:v>28</x:v>
      </x:c>
      <x:c r="I7" s="88" t="s">
        <x:v>28</x:v>
      </x:c>
      <x:c r="J7" s="88" t="s">
        <x:v>28</x:v>
      </x:c>
      <x:c r="K7" s="88" t="s">
        <x:v>28</x:v>
      </x:c>
      <x:c r="L7" s="88" t="s">
        <x:v>28</x:v>
      </x:c>
      <x:c r="M7" s="88" t="s">
        <x:v>28</x:v>
      </x:c>
      <x:c r="N7" s="88" t="s">
        <x:v>28</x:v>
      </x:c>
      <x:c r="O7" s="88" t="s">
        <x:v>28</x:v>
      </x:c>
      <x:c r="P7" s="88" t="s">
        <x:v>28</x:v>
      </x:c>
    </x:row>
    <x:row r="8"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B9" s="1" t="str">
        <x:v>选择阶段</x:v>
      </x:c>
      <x:c r="C9" s="89" t="str">
        <x:v>优化后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 ht="26">
      <x:c r="B10" s="1" t="str">
        <x:v>记录日期</x:v>
      </x:c>
      <x:c r="C10" s="90" t="str">
        <x:v>2026-09-16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B11" s="1" t="str">
        <x:v>来源</x:v>
      </x:c>
      <x:c r="C11" s="84" t="str">
        <x:v>本轮 Vitest / Gradle XML 报告；docs/review-2026-09-16.md 与 docs/review/inventory.json</x:v>
      </x:c>
      <x:c r="D11" s="84" t="s">
        <x:v>29</x:v>
      </x:c>
      <x:c r="E11" s="84" t="s">
        <x:v>29</x:v>
      </x:c>
      <x:c r="F11" s="84" t="s">
        <x:v>29</x:v>
      </x:c>
      <x:c r="G11" s="84" t="s">
        <x:v>29</x:v>
      </x:c>
      <x:c r="H11" s="84" t="s">
        <x:v>29</x:v>
      </x:c>
      <x:c r="I11" s="84" t="s">
        <x:v>29</x:v>
      </x:c>
      <x:c r="J11" s="84" t="s">
        <x:v>29</x:v>
      </x:c>
      <x:c r="K11" s="84" t="s">
        <x:v>29</x:v>
      </x:c>
      <x:c r="L11" s="84" t="s">
        <x:v>29</x:v>
      </x:c>
      <x:c r="M11" s="84" t="s">
        <x:v>29</x:v>
      </x:c>
      <x:c r="N11" s="84" t="s">
        <x:v>29</x:v>
      </x:c>
      <x:c r="O11" s="84" t="s">
        <x:v>29</x:v>
      </x:c>
      <x:c r="P11" s="84" t="s">
        <x:v>29</x:v>
      </x:c>
    </x:row>
    <x:row r="12"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 ht="22" customHeight="1">
      <x:c r="B13" s="85" t="str">
        <x:v>测试实测值与验收目标</x:v>
      </x:c>
      <x:c r="C13" s="85" t="s">
        <x:v>30</x:v>
      </x:c>
      <x:c r="D13" s="85" t="s">
        <x:v>30</x:v>
      </x:c>
      <x:c r="E13" s="85" t="s">
        <x:v>30</x:v>
      </x:c>
      <x:c r="F13" s="85" t="s">
        <x:v>30</x:v>
      </x:c>
      <x:c r="G13" s="85" t="s">
        <x:v>30</x:v>
      </x:c>
      <x:c r="H13" s="85" t="s">
        <x:v>30</x:v>
      </x:c>
      <x:c r="I13" s="85" t="s">
        <x:v>30</x:v>
      </x:c>
      <x:c r="J13" s="85" t="s">
        <x:v>30</x:v>
      </x:c>
      <x:c r="K13" s="85" t="s">
        <x:v>30</x:v>
      </x:c>
      <x:c r="L13" s="85" t="s">
        <x:v>30</x:v>
      </x:c>
      <x:c r="M13" s="85" t="s">
        <x:v>30</x:v>
      </x:c>
      <x:c r="N13" s="85" t="s">
        <x:v>30</x:v>
      </x:c>
      <x:c r="O13" s="85" t="s">
        <x:v>30</x:v>
      </x:c>
      <x:c r="P13" s="85" t="s">
        <x:v>30</x:v>
      </x:c>
    </x:row>
    <x:row r="14"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 ht="34" customHeight="1">
      <x:c r="B15" s="2" t="str">
        <x:v>阶段</x:v>
      </x:c>
      <x:c r="C15" s="2" t="str">
        <x:v>执行用例</x:v>
      </x:c>
      <x:c r="D15" s="2" t="str">
        <x:v>后端通过</x:v>
      </x:c>
      <x:c r="E15" s="2" t="str">
        <x:v>Android通过率</x:v>
      </x:c>
      <x:c r="F15" s="2" t="str">
        <x:v>shared通过率</x:v>
      </x:c>
      <x:c r="G15" s="2" t="str">
        <x:v>桌面通过</x:v>
      </x:c>
      <x:c r="H15" s="2" t="str">
        <x:v>通过总数</x:v>
      </x:c>
      <x:c r="I15" s="2" t="str">
        <x:v>失败用例</x:v>
      </x:c>
      <x:c r="J15" s="2" t="str">
        <x:v>用例目标</x:v>
      </x:c>
      <x:c r="K15" s="2" t="str">
        <x:v>后端目标</x:v>
      </x:c>
      <x:c r="L15" s="2" t="str">
        <x:v>Android目标</x:v>
      </x:c>
      <x:c r="M15" s="2" t="str">
        <x:v>shared目标</x:v>
      </x:c>
      <x:c r="N15" s="2" t="str">
        <x:v>桌面目标</x:v>
      </x:c>
      <x:c r="O15" s="2" t="str">
        <x:v>通过目标</x:v>
      </x:c>
      <x:c r="P15" s="2" t="str">
        <x:v>失败目标</x:v>
      </x:c>
    </x:row>
    <x:row r="16">
      <x:c r="B16" s="91" t="str">
        <x:v>基线</x:v>
      </x:c>
      <x:c r="C16" s="92" t="n">
        <x:v>106</x:v>
      </x:c>
      <x:c r="D16" s="92" t="n">
        <x:v>21</x:v>
      </x:c>
      <x:c r="E16" s="93" t="n">
        <x:v>0.9878048780487805</x:v>
      </x:c>
      <x:c r="F16" s="93"/>
      <x:c r="G16" s="92" t="n">
        <x:v>0</x:v>
      </x:c>
      <x:c r="H16" s="92" t="n">
        <x:v>102</x:v>
      </x:c>
      <x:c r="I16" s="92" t="n">
        <x:v>4</x:v>
      </x:c>
      <x:c r="J16" s="92" t="n">
        <x:v>106</x:v>
      </x:c>
      <x:c r="K16" s="92" t="n">
        <x:v>24</x:v>
      </x:c>
      <x:c r="L16" s="93" t="n">
        <x:v>1</x:v>
      </x:c>
      <x:c r="M16" s="93" t="n">
        <x:v>1</x:v>
      </x:c>
      <x:c r="N16" s="92" t="n">
        <x:v>0</x:v>
      </x:c>
      <x:c r="O16" s="92" t="n">
        <x:v>106</x:v>
      </x:c>
      <x:c r="P16" s="92" t="n">
        <x:v>0</x:v>
      </x:c>
    </x:row>
    <x:row r="17">
      <x:c r="B17" s="91" t="str">
        <x:v>优化后</x:v>
      </x:c>
      <x:c r="C17" s="92" t="n">
        <x:v>134</x:v>
      </x:c>
      <x:c r="D17" s="92" t="n">
        <x:v>39</x:v>
      </x:c>
      <x:c r="E17" s="93" t="n">
        <x:v>1</x:v>
      </x:c>
      <x:c r="F17" s="93" t="n">
        <x:v>1</x:v>
      </x:c>
      <x:c r="G17" s="92" t="n">
        <x:v>4</x:v>
      </x:c>
      <x:c r="H17" s="92" t="n">
        <x:v>134</x:v>
      </x:c>
      <x:c r="I17" s="92" t="n">
        <x:v>0</x:v>
      </x:c>
      <x:c r="J17" s="92" t="n">
        <x:v>134</x:v>
      </x:c>
      <x:c r="K17" s="92" t="n">
        <x:v>39</x:v>
      </x:c>
      <x:c r="L17" s="93" t="n">
        <x:v>1</x:v>
      </x:c>
      <x:c r="M17" s="93" t="n">
        <x:v>1</x:v>
      </x:c>
      <x:c r="N17" s="92" t="n">
        <x:v>4</x:v>
      </x:c>
      <x:c r="O17" s="92" t="n">
        <x:v>134</x:v>
      </x:c>
      <x:c r="P17" s="92" t="n">
        <x:v>0</x:v>
      </x:c>
    </x:row>
    <x:row r="18">
      <x:c r="B18" s="91"/>
      <x:c r="C18" s="92"/>
      <x:c r="D18" s="92"/>
      <x:c r="E18" s="93"/>
      <x:c r="F18" s="93"/>
      <x:c r="G18" s="92"/>
      <x:c r="H18" s="92"/>
      <x:c r="I18" s="92"/>
      <x:c r="J18" s="92"/>
      <x:c r="K18" s="92"/>
      <x:c r="L18" s="93"/>
      <x:c r="M18" s="93"/>
      <x:c r="N18" s="92"/>
      <x:c r="O18" s="92"/>
      <x:c r="P18" s="92"/>
    </x:row>
    <x:row r="19">
      <x:c r="B19" s="91"/>
      <x:c r="C19" s="92"/>
      <x:c r="D19" s="92"/>
      <x:c r="E19" s="93"/>
      <x:c r="F19" s="93"/>
      <x:c r="G19" s="92"/>
      <x:c r="H19" s="92"/>
      <x:c r="I19" s="92"/>
      <x:c r="J19" s="92"/>
      <x:c r="K19" s="92"/>
      <x:c r="L19" s="93"/>
      <x:c r="M19" s="93"/>
      <x:c r="N19" s="92"/>
      <x:c r="O19" s="92"/>
      <x:c r="P19" s="92"/>
    </x:row>
    <x:row r="20">
      <x:c r="B20" s="91"/>
      <x:c r="C20" s="92"/>
      <x:c r="D20" s="92"/>
      <x:c r="E20" s="93"/>
      <x:c r="F20" s="93"/>
      <x:c r="G20" s="92"/>
      <x:c r="H20" s="92"/>
      <x:c r="I20" s="92"/>
      <x:c r="J20" s="92"/>
      <x:c r="K20" s="92"/>
      <x:c r="L20" s="93"/>
      <x:c r="M20" s="93"/>
      <x:c r="N20" s="92"/>
      <x:c r="O20" s="92"/>
      <x:c r="P20" s="92"/>
    </x:row>
    <x:row r="21">
      <x:c r="B21" s="91"/>
      <x:c r="C21" s="92"/>
      <x:c r="D21" s="92"/>
      <x:c r="E21" s="93"/>
      <x:c r="F21" s="93"/>
      <x:c r="G21" s="92"/>
      <x:c r="H21" s="92"/>
      <x:c r="I21" s="92"/>
      <x:c r="J21" s="92"/>
      <x:c r="K21" s="92"/>
      <x:c r="L21" s="93"/>
      <x:c r="M21" s="93"/>
      <x:c r="N21" s="92"/>
      <x:c r="O21" s="92"/>
      <x:c r="P21" s="92"/>
    </x:row>
    <x:row r="22">
      <x:c r="B22" s="91"/>
      <x:c r="C22" s="92"/>
      <x:c r="D22" s="92"/>
      <x:c r="E22" s="93"/>
      <x:c r="F22" s="93"/>
      <x:c r="G22" s="92"/>
      <x:c r="H22" s="92"/>
      <x:c r="I22" s="92"/>
      <x:c r="J22" s="92"/>
      <x:c r="K22" s="92"/>
      <x:c r="L22" s="93"/>
      <x:c r="M22" s="93"/>
      <x:c r="N22" s="92"/>
      <x:c r="O22" s="92"/>
      <x:c r="P22" s="92"/>
    </x:row>
    <x:row r="23">
      <x:c r="B23" s="91"/>
      <x:c r="C23" s="92"/>
      <x:c r="D23" s="92"/>
      <x:c r="E23" s="93"/>
      <x:c r="F23" s="93"/>
      <x:c r="G23" s="92"/>
      <x:c r="H23" s="92"/>
      <x:c r="I23" s="92"/>
      <x:c r="J23" s="92"/>
      <x:c r="K23" s="92"/>
      <x:c r="L23" s="93"/>
      <x:c r="M23" s="93"/>
      <x:c r="N23" s="92"/>
      <x:c r="O23" s="92"/>
      <x:c r="P23" s="92"/>
    </x:row>
    <x:row r="24">
      <x:c r="B24" s="91"/>
      <x:c r="C24" s="92"/>
      <x:c r="D24" s="92"/>
      <x:c r="E24" s="93"/>
      <x:c r="F24" s="93"/>
      <x:c r="G24" s="92"/>
      <x:c r="H24" s="92"/>
      <x:c r="I24" s="92"/>
      <x:c r="J24" s="92"/>
      <x:c r="K24" s="92"/>
      <x:c r="L24" s="93"/>
      <x:c r="M24" s="93"/>
      <x:c r="N24" s="92"/>
      <x:c r="O24" s="92"/>
      <x:c r="P24" s="92"/>
    </x:row>
    <x:row r="25">
      <x:c r="B25" s="91"/>
      <x:c r="C25" s="92"/>
      <x:c r="D25" s="92"/>
      <x:c r="E25" s="93"/>
      <x:c r="F25" s="93"/>
      <x:c r="G25" s="92"/>
      <x:c r="H25" s="92"/>
      <x:c r="I25" s="92"/>
      <x:c r="J25" s="92"/>
      <x:c r="K25" s="92"/>
      <x:c r="L25" s="93"/>
      <x:c r="M25" s="93"/>
      <x:c r="N25" s="92"/>
      <x:c r="O25" s="92"/>
      <x:c r="P25" s="92"/>
    </x:row>
    <x:row r="26">
      <x:c r="B26" s="91"/>
      <x:c r="C26" s="92"/>
      <x:c r="D26" s="92"/>
      <x:c r="E26" s="93"/>
      <x:c r="F26" s="93"/>
      <x:c r="G26" s="92"/>
      <x:c r="H26" s="92"/>
      <x:c r="I26" s="92"/>
      <x:c r="J26" s="92"/>
      <x:c r="K26" s="92"/>
      <x:c r="L26" s="93"/>
      <x:c r="M26" s="93"/>
      <x:c r="N26" s="92"/>
      <x:c r="O26" s="92"/>
      <x:c r="P26" s="92"/>
    </x:row>
    <x:row r="27">
      <x:c r="B27" s="91"/>
      <x:c r="C27" s="92"/>
      <x:c r="D27" s="92"/>
      <x:c r="E27" s="93"/>
      <x:c r="F27" s="93"/>
      <x:c r="G27" s="92"/>
      <x:c r="H27" s="92"/>
      <x:c r="I27" s="92"/>
      <x:c r="J27" s="92"/>
      <x:c r="K27" s="92"/>
      <x:c r="L27" s="93"/>
      <x:c r="M27" s="93"/>
      <x:c r="N27" s="92"/>
      <x:c r="O27" s="92"/>
      <x:c r="P27" s="92"/>
    </x:row>
    <x:row r="28"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 ht="22" customHeight="1">
      <x:c r="B29" s="86" t="str">
        <x:v>测试数量（各模块独立统计，不是漏斗）</x:v>
      </x:c>
      <x:c r="C29" s="86" t="s">
        <x:v>31</x:v>
      </x:c>
      <x:c r="D29" s="86" t="s">
        <x:v>31</x:v>
      </x:c>
      <x:c r="E29" s="86" t="s">
        <x:v>31</x:v>
      </x:c>
      <x:c r="F29" s="28"/>
      <x:c r="G29" s="86" t="str">
        <x:v>生产源文件数量</x:v>
      </x:c>
      <x:c r="H29" s="86" t="s">
        <x:v>32</x:v>
      </x:c>
      <x:c r="I29" s="86" t="s">
        <x:v>32</x:v>
      </x:c>
      <x:c r="J29" s="86" t="s">
        <x:v>32</x:v>
      </x:c>
      <x:c r="K29" s="28"/>
      <x:c r="L29" s="28"/>
      <x:c r="M29" s="28"/>
      <x:c r="N29" s="28"/>
      <x:c r="O29" s="28"/>
      <x:c r="P29" s="28"/>
    </x:row>
    <x:row r="30">
      <x:c r="B30" s="3" t="str">
        <x:v>范围</x:v>
      </x:c>
      <x:c r="C30" s="3" t="str">
        <x:v>通过数</x:v>
      </x:c>
      <x:c r="D30" s="28"/>
      <x:c r="E30" s="28"/>
      <x:c r="F30" s="28"/>
      <x:c r="G30" s="3" t="str">
        <x:v>模块</x:v>
      </x:c>
      <x:c r="H30" s="3" t="str">
        <x:v>文件数</x:v>
      </x:c>
      <x:c r="I30" s="28"/>
      <x:c r="J30" s="28"/>
      <x:c r="K30" s="28"/>
      <x:c r="L30" s="28"/>
      <x:c r="M30" s="28"/>
      <x:c r="N30" s="28"/>
      <x:c r="O30" s="28"/>
      <x:c r="P30" s="28"/>
    </x:row>
    <x:row r="31">
      <x:c r="B31" s="4" t="str">
        <x:v>Android</x:v>
      </x:c>
      <x:c r="C31" s="92" t="n">
        <x:v>85</x:v>
      </x:c>
      <x:c r="D31" s="28"/>
      <x:c r="E31" s="28"/>
      <x:c r="F31" s="28"/>
      <x:c r="G31" s="4" t="str">
        <x:v>Android</x:v>
      </x:c>
      <x:c r="H31" s="92" t="n">
        <x:v>66</x:v>
      </x:c>
      <x:c r="I31" s="28"/>
      <x:c r="J31" s="28"/>
      <x:c r="K31" s="28"/>
      <x:c r="L31" s="28"/>
      <x:c r="M31" s="28"/>
      <x:c r="N31" s="28"/>
      <x:c r="O31" s="28"/>
      <x:c r="P31" s="28"/>
    </x:row>
    <x:row r="32">
      <x:c r="B32" s="4" t="str">
        <x:v>Backend</x:v>
      </x:c>
      <x:c r="C32" s="92" t="n">
        <x:v>39</x:v>
      </x:c>
      <x:c r="D32" s="28"/>
      <x:c r="E32" s="28"/>
      <x:c r="F32" s="28"/>
      <x:c r="G32" s="4" t="str">
        <x:v>Backend</x:v>
      </x:c>
      <x:c r="H32" s="92" t="n">
        <x:v>20</x:v>
      </x:c>
      <x:c r="I32" s="28"/>
      <x:c r="J32" s="28"/>
      <x:c r="K32" s="28"/>
      <x:c r="L32" s="28"/>
      <x:c r="M32" s="28"/>
      <x:c r="N32" s="28"/>
      <x:c r="O32" s="28"/>
      <x:c r="P32" s="28"/>
    </x:row>
    <x:row r="33">
      <x:c r="B33" s="4" t="str">
        <x:v>Shared</x:v>
      </x:c>
      <x:c r="C33" s="92" t="n">
        <x:v>6</x:v>
      </x:c>
      <x:c r="D33" s="28"/>
      <x:c r="E33" s="28"/>
      <x:c r="F33" s="28"/>
      <x:c r="G33" s="4" t="str">
        <x:v>Shared + Protocol</x:v>
      </x:c>
      <x:c r="H33" s="92" t="n">
        <x:v>20</x:v>
      </x:c>
      <x:c r="I33" s="28"/>
      <x:c r="J33" s="28"/>
      <x:c r="K33" s="28"/>
      <x:c r="L33" s="28"/>
      <x:c r="M33" s="28"/>
      <x:c r="N33" s="28"/>
      <x:c r="O33" s="28"/>
      <x:c r="P33" s="28"/>
    </x:row>
    <x:row r="34">
      <x:c r="B34" s="4" t="str">
        <x:v>Desktop</x:v>
      </x:c>
      <x:c r="C34" s="92" t="n">
        <x:v>4</x:v>
      </x:c>
      <x:c r="D34" s="28"/>
      <x:c r="E34" s="28"/>
      <x:c r="F34" s="28"/>
      <x:c r="G34" s="4" t="str">
        <x:v>Desktop</x:v>
      </x:c>
      <x:c r="H34" s="92" t="n">
        <x:v>12</x:v>
      </x:c>
      <x:c r="I34" s="28"/>
      <x:c r="J34" s="28"/>
      <x:c r="K34" s="28"/>
      <x:c r="L34" s="28"/>
      <x:c r="M34" s="28"/>
      <x:c r="N34" s="28"/>
      <x:c r="O34" s="28"/>
      <x:c r="P34" s="28"/>
    </x:row>
    <x:row r="35">
      <x:c r="B35" s="4" t="str">
        <x:v>总计</x:v>
      </x:c>
      <x:c r="C35" s="92" t="n">
        <x:f>SUM(C31:C34)</x:f>
        <x:v>134</x:v>
      </x:c>
      <x:c r="D35" s="28"/>
      <x:c r="E35" s="28"/>
      <x:c r="F35" s="28"/>
      <x:c r="G35" s="5" t="str">
        <x:v>合计</x:v>
      </x:c>
      <x:c r="H35" s="94" t="n">
        <x:f>SUM(H31:H34)</x:f>
        <x:v>118</x:v>
      </x:c>
      <x:c r="I35" s="28"/>
      <x:c r="J35" s="28"/>
      <x:c r="K35" s="28"/>
      <x:c r="L35" s="28"/>
      <x:c r="M35" s="28"/>
      <x:c r="N35" s="28"/>
      <x:c r="O35" s="28"/>
      <x:c r="P35" s="28"/>
    </x:row>
  </x:sheetData>
  <x:mergeCells>
    <x:mergeCell ref="C11:P11"/>
    <x:mergeCell ref="B13:P13"/>
    <x:mergeCell ref="B29:E29"/>
    <x:mergeCell ref="G29:J29"/>
    <x:mergeCell ref="B5:P5"/>
    <x:mergeCell ref="B6:P6"/>
    <x:mergeCell ref="B7:P7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7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</x:cols>
  <x:sheetData>
    <x:row r="1">
      <x:c r="A1" s="3" t="str">
        <x:f>"Metric"</x:f>
        <x:v>Metric</x:v>
      </x:c>
      <x:c r="B1" s="3" t="str">
        <x:f>"Actual"</x:f>
        <x:v>Actual</x:v>
      </x:c>
      <x:c r="C1" s="3" t="str">
        <x:f>"Target"</x:f>
        <x:v>Target</x:v>
      </x:c>
      <x:c r="D1" s="3" t="str">
        <x:f>"Prior"</x:f>
        <x:v>Prior</x:v>
      </x:c>
      <x:c r="E1" s="3" t="str">
        <x:f>"Direction"</x:f>
        <x:v>Direction</x:v>
      </x:c>
      <x:c r="F1" s="3" t="str">
        <x:f>"Status"</x:f>
        <x:v>Status</x:v>
      </x:c>
      <x:c r="G1" s="4"/>
      <x:c r="H1" s="3" t="str">
        <x:v>阶段</x:v>
      </x:c>
      <x:c r="I1" s="3" t="str">
        <x:v>执行用例</x:v>
      </x:c>
      <x:c r="J1" s="3" t="str">
        <x:v>目标</x:v>
      </x:c>
      <x:c r="K1" s="4"/>
      <x:c r="L1" s="3" t="str">
        <x:v>阶段</x:v>
      </x:c>
      <x:c r="M1" s="3" t="str">
        <x:v>通过用例</x:v>
      </x:c>
      <x:c r="N1" s="3" t="str">
        <x:v>目标</x:v>
      </x:c>
      <x:c r="O1" s="4"/>
      <x:c r="P1" s="3" t="str">
        <x:v>范围</x:v>
      </x:c>
      <x:c r="Q1" s="3" t="str">
        <x:v>通过数</x:v>
      </x:c>
      <x:c r="R1" s="4"/>
      <x:c r="S1" s="3" t="str">
        <x:v>模块</x:v>
      </x:c>
      <x:c r="T1" s="3" t="str">
        <x:v>源文件数</x:v>
      </x:c>
    </x:row>
    <x:row r="2">
      <x:c r="A2" s="4" t="str">
        <x:v>执行用例</x:v>
      </x:c>
      <x:c r="B2" s="98" t="n">
        <x:f>INDEX('Data &amp; Targets'!$C$16:$C$27,MATCH('Data &amp; Targets'!$C$9,'Data &amp; Targets'!$B$16:$B$27,0))</x:f>
        <x:v>134</x:v>
      </x:c>
      <x:c r="C2" s="98" t="n">
        <x:f>INDEX('Data &amp; Targets'!$J$16:$J$27,MATCH('Data &amp; Targets'!$C$9,'Data &amp; Targets'!$B$16:$B$27,0))</x:f>
        <x:v>134</x:v>
      </x:c>
      <x:c r="D2" s="98" t="n">
        <x:f>IF(MATCH('Data &amp; Targets'!$C$9,'Data &amp; Targets'!$B$16:$B$27,0)&lt;=1,"",INDEX('Data &amp; Targets'!$C$16:$C$27,MATCH('Data &amp; Targets'!$C$9,'Data &amp; Targets'!$B$16:$B$27,0)-1))</x:f>
        <x:v>106</x:v>
      </x:c>
      <x:c r="E2" s="4" t="str">
        <x:f t="shared" ref="E2:E7" si="0">"Higher"</x:f>
        <x:v>Higher</x:v>
      </x:c>
      <x:c r="F2" s="4" t="str">
        <x:f t="shared" ref="F2:F9" si="1">IF(E2="Lower",IF(B2&lt;=C2,"Pass","Review"),IF(B2&gt;=C2,"Pass","Review"))</x:f>
        <x:v>Pass</x:v>
      </x:c>
      <x:c r="G2" s="4"/>
      <x:c r="H2" s="11" t="str">
        <x:f>'Data &amp; Targets'!B16</x:f>
        <x:v>基线</x:v>
      </x:c>
      <x:c r="I2" s="4" t="n">
        <x:f>'Data &amp; Targets'!C16</x:f>
        <x:v>106</x:v>
      </x:c>
      <x:c r="J2" s="4" t="n">
        <x:f>'Data &amp; Targets'!J16</x:f>
        <x:v>106</x:v>
      </x:c>
      <x:c r="K2" s="4"/>
      <x:c r="L2" s="11" t="str">
        <x:f>'Data &amp; Targets'!B16</x:f>
        <x:v>基线</x:v>
      </x:c>
      <x:c r="M2" s="4" t="n">
        <x:f>'Data &amp; Targets'!H16</x:f>
        <x:v>102</x:v>
      </x:c>
      <x:c r="N2" s="4" t="n">
        <x:f>'Data &amp; Targets'!O16</x:f>
        <x:v>106</x:v>
      </x:c>
      <x:c r="O2" s="4"/>
      <x:c r="P2" s="4" t="str">
        <x:f>'Data &amp; Targets'!B34</x:f>
        <x:v>Desktop</x:v>
      </x:c>
      <x:c r="Q2" s="6" t="n">
        <x:f>'Data &amp; Targets'!C34</x:f>
        <x:v>4</x:v>
      </x:c>
      <x:c r="R2" s="4"/>
      <x:c r="S2" s="4" t="str">
        <x:f>'Data &amp; Targets'!G34</x:f>
        <x:v>Desktop</x:v>
      </x:c>
      <x:c r="T2" s="95" t="n">
        <x:f>'Data &amp; Targets'!H34</x:f>
        <x:v>12</x:v>
      </x:c>
    </x:row>
    <x:row r="3">
      <x:c r="A3" s="4" t="str">
        <x:v>后端通过</x:v>
      </x:c>
      <x:c r="B3" s="98" t="n">
        <x:f>INDEX('Data &amp; Targets'!$D$16:$D$27,MATCH('Data &amp; Targets'!$C$9,'Data &amp; Targets'!$B$16:$B$27,0))</x:f>
        <x:v>39</x:v>
      </x:c>
      <x:c r="C3" s="98" t="n">
        <x:f>INDEX('Data &amp; Targets'!$K$16:$K$27,MATCH('Data &amp; Targets'!$C$9,'Data &amp; Targets'!$B$16:$B$27,0))</x:f>
        <x:v>39</x:v>
      </x:c>
      <x:c r="D3" s="98" t="n">
        <x:f>IF(MATCH('Data &amp; Targets'!$C$9,'Data &amp; Targets'!$B$16:$B$27,0)&lt;=1,"",INDEX('Data &amp; Targets'!$D$16:$D$27,MATCH('Data &amp; Targets'!$C$9,'Data &amp; Targets'!$B$16:$B$27,0)-1))</x:f>
        <x:v>21</x:v>
      </x:c>
      <x:c r="E3" s="4" t="str">
        <x:f t="shared" si="0"/>
        <x:v>Higher</x:v>
      </x:c>
      <x:c r="F3" s="4" t="str">
        <x:f t="shared" si="1">IF(E3="Lower",IF(B3&lt;=C3,"Pass","Review"),IF(B3&gt;=C3,"Pass","Review"))</x:f>
        <x:v>Pass</x:v>
      </x:c>
      <x:c r="G3" s="4"/>
      <x:c r="H3" s="11" t="str">
        <x:f>'Data &amp; Targets'!B17</x:f>
        <x:v>优化后</x:v>
      </x:c>
      <x:c r="I3" s="4" t="n">
        <x:f>'Data &amp; Targets'!C17</x:f>
        <x:v>134</x:v>
      </x:c>
      <x:c r="J3" s="4" t="n">
        <x:f>'Data &amp; Targets'!J17</x:f>
        <x:v>134</x:v>
      </x:c>
      <x:c r="K3" s="4"/>
      <x:c r="L3" s="11" t="str">
        <x:f>'Data &amp; Targets'!B17</x:f>
        <x:v>优化后</x:v>
      </x:c>
      <x:c r="M3" s="4" t="n">
        <x:f>'Data &amp; Targets'!H17</x:f>
        <x:v>134</x:v>
      </x:c>
      <x:c r="N3" s="4" t="n">
        <x:f>'Data &amp; Targets'!O17</x:f>
        <x:v>134</x:v>
      </x:c>
      <x:c r="O3" s="4"/>
      <x:c r="P3" s="4" t="str">
        <x:f>'Data &amp; Targets'!B33</x:f>
        <x:v>Shared</x:v>
      </x:c>
      <x:c r="Q3" s="6" t="n">
        <x:f>'Data &amp; Targets'!C33</x:f>
        <x:v>6</x:v>
      </x:c>
      <x:c r="R3" s="4"/>
      <x:c r="S3" s="4" t="str">
        <x:f>'Data &amp; Targets'!G33</x:f>
        <x:v>Shared + Protocol</x:v>
      </x:c>
      <x:c r="T3" s="95" t="n">
        <x:f>'Data &amp; Targets'!H33</x:f>
        <x:v>20</x:v>
      </x:c>
    </x:row>
    <x:row r="4">
      <x:c r="A4" s="4" t="str">
        <x:v>Android通过率</x:v>
      </x:c>
      <x:c r="B4" s="101" t="n">
        <x:f>INDEX('Data &amp; Targets'!$E$16:$E$27,MATCH('Data &amp; Targets'!$C$9,'Data &amp; Targets'!$B$16:$B$27,0))</x:f>
        <x:v>1</x:v>
      </x:c>
      <x:c r="C4" s="101" t="n">
        <x:f>INDEX('Data &amp; Targets'!$L$16:$L$27,MATCH('Data &amp; Targets'!$C$9,'Data &amp; Targets'!$B$16:$B$27,0))</x:f>
        <x:v>1</x:v>
      </x:c>
      <x:c r="D4" s="101" t="n">
        <x:f>IF(MATCH('Data &amp; Targets'!$C$9,'Data &amp; Targets'!$B$16:$B$27,0)&lt;=1,"",INDEX('Data &amp; Targets'!$E$16:$E$27,MATCH('Data &amp; Targets'!$C$9,'Data &amp; Targets'!$B$16:$B$27,0)-1))</x:f>
        <x:v>0.9878048780487805</x:v>
      </x:c>
      <x:c r="E4" s="4" t="str">
        <x:f t="shared" si="0"/>
        <x:v>Higher</x:v>
      </x:c>
      <x:c r="F4" s="4" t="str">
        <x:f t="shared" si="1">IF(E4="Lower",IF(B4&lt;=C4,"Pass","Review"),IF(B4&gt;=C4,"Pass","Review"))</x:f>
        <x:v>Pass</x:v>
      </x:c>
      <x:c r="G4" s="4"/>
      <x:c r="H4" s="11"/>
      <x:c r="I4" s="4"/>
      <x:c r="J4" s="4"/>
      <x:c r="K4" s="4"/>
      <x:c r="L4" s="11"/>
      <x:c r="M4" s="4"/>
      <x:c r="N4" s="4"/>
      <x:c r="O4" s="4"/>
      <x:c r="P4" s="4" t="str">
        <x:f>'Data &amp; Targets'!B32</x:f>
        <x:v>Backend</x:v>
      </x:c>
      <x:c r="Q4" s="6" t="n">
        <x:f>'Data &amp; Targets'!C32</x:f>
        <x:v>39</x:v>
      </x:c>
      <x:c r="R4" s="4"/>
      <x:c r="S4" s="4" t="str">
        <x:f>'Data &amp; Targets'!G32</x:f>
        <x:v>Backend</x:v>
      </x:c>
      <x:c r="T4" s="95" t="n">
        <x:f>'Data &amp; Targets'!H32</x:f>
        <x:v>20</x:v>
      </x:c>
    </x:row>
    <x:row r="5">
      <x:c r="A5" s="4" t="str">
        <x:v>shared通过率</x:v>
      </x:c>
      <x:c r="B5" s="101" t="n">
        <x:f>INDEX('Data &amp; Targets'!$F$16:$F$27,MATCH('Data &amp; Targets'!$C$9,'Data &amp; Targets'!$B$16:$B$27,0))</x:f>
        <x:v>1</x:v>
      </x:c>
      <x:c r="C5" s="101" t="n">
        <x:f>INDEX('Data &amp; Targets'!$M$16:$M$27,MATCH('Data &amp; Targets'!$C$9,'Data &amp; Targets'!$B$16:$B$27,0))</x:f>
        <x:v>1</x:v>
      </x:c>
      <x:c r="D5" s="101" t="str">
        <x:f>IF(MATCH('Data &amp; Targets'!$C$9,'Data &amp; Targets'!$B$16:$B$27,0)&lt;=1,"",INDEX('Data &amp; Targets'!$F$16:$F$27,MATCH('Data &amp; Targets'!$C$9,'Data &amp; Targets'!$B$16:$B$27,0)-1))</x:f>
      </x:c>
      <x:c r="E5" s="4" t="str">
        <x:f t="shared" si="0"/>
        <x:v>Higher</x:v>
      </x:c>
      <x:c r="F5" s="4" t="str">
        <x:f t="shared" si="1">IF(E5="Lower",IF(B5&lt;=C5,"Pass","Review"),IF(B5&gt;=C5,"Pass","Review"))</x:f>
        <x:v>Pass</x:v>
      </x:c>
      <x:c r="G5" s="4"/>
      <x:c r="H5" s="11"/>
      <x:c r="I5" s="4"/>
      <x:c r="J5" s="4"/>
      <x:c r="K5" s="4"/>
      <x:c r="L5" s="11"/>
      <x:c r="M5" s="4"/>
      <x:c r="N5" s="4"/>
      <x:c r="O5" s="4"/>
      <x:c r="P5" s="4" t="str">
        <x:f>'Data &amp; Targets'!B31</x:f>
        <x:v>Android</x:v>
      </x:c>
      <x:c r="Q5" s="6" t="n">
        <x:f>'Data &amp; Targets'!C31</x:f>
        <x:v>85</x:v>
      </x:c>
      <x:c r="R5" s="4"/>
      <x:c r="S5" s="4" t="str">
        <x:f>'Data &amp; Targets'!G31</x:f>
        <x:v>Android</x:v>
      </x:c>
      <x:c r="T5" s="95" t="n">
        <x:f>'Data &amp; Targets'!H31</x:f>
        <x:v>66</x:v>
      </x:c>
    </x:row>
    <x:row r="6">
      <x:c r="A6" s="4" t="str">
        <x:v>桌面通过</x:v>
      </x:c>
      <x:c r="B6" s="98" t="n">
        <x:f>INDEX('Data &amp; Targets'!$G$16:$G$27,MATCH('Data &amp; Targets'!$C$9,'Data &amp; Targets'!$B$16:$B$27,0))</x:f>
        <x:v>4</x:v>
      </x:c>
      <x:c r="C6" s="98" t="n">
        <x:f>INDEX('Data &amp; Targets'!$N$16:$N$27,MATCH('Data &amp; Targets'!$C$9,'Data &amp; Targets'!$B$16:$B$27,0))</x:f>
        <x:v>4</x:v>
      </x:c>
      <x:c r="D6" s="98" t="n">
        <x:f>IF(MATCH('Data &amp; Targets'!$C$9,'Data &amp; Targets'!$B$16:$B$27,0)&lt;=1,"",INDEX('Data &amp; Targets'!$G$16:$G$27,MATCH('Data &amp; Targets'!$C$9,'Data &amp; Targets'!$B$16:$B$27,0)-1))</x:f>
        <x:v>0</x:v>
      </x:c>
      <x:c r="E6" s="4" t="str">
        <x:f t="shared" si="0"/>
        <x:v>Higher</x:v>
      </x:c>
      <x:c r="F6" s="4" t="str">
        <x:f t="shared" si="1">IF(E6="Lower",IF(B6&lt;=C6,"Pass","Review"),IF(B6&gt;=C6,"Pass","Review"))</x:f>
        <x:v>Pass</x:v>
      </x:c>
      <x:c r="G6" s="4"/>
      <x:c r="H6" s="11"/>
      <x:c r="I6" s="4"/>
      <x:c r="J6" s="4"/>
      <x:c r="K6" s="4"/>
      <x:c r="L6" s="11"/>
      <x:c r="M6" s="4"/>
      <x:c r="N6" s="4"/>
      <x:c r="O6" s="4"/>
      <x:c r="P6" s="4" t="str">
        <x:f>'Data &amp; Targets'!B35</x:f>
        <x:v>总计</x:v>
      </x:c>
      <x:c r="Q6" s="6" t="n">
        <x:f>'Data &amp; Targets'!C35</x:f>
        <x:v>134</x:v>
      </x:c>
      <x:c r="R6" s="4"/>
      <x:c r="S6" s="4"/>
      <x:c r="T6" s="4"/>
    </x:row>
    <x:row r="7">
      <x:c r="A7" s="4" t="str">
        <x:v>通过总数</x:v>
      </x:c>
      <x:c r="B7" s="98" t="n">
        <x:f>INDEX('Data &amp; Targets'!$H$16:$H$27,MATCH('Data &amp; Targets'!$C$9,'Data &amp; Targets'!$B$16:$B$27,0))</x:f>
        <x:v>134</x:v>
      </x:c>
      <x:c r="C7" s="98" t="n">
        <x:f>INDEX('Data &amp; Targets'!$O$16:$O$27,MATCH('Data &amp; Targets'!$C$9,'Data &amp; Targets'!$B$16:$B$27,0))</x:f>
        <x:v>134</x:v>
      </x:c>
      <x:c r="D7" s="98" t="n">
        <x:f>IF(MATCH('Data &amp; Targets'!$C$9,'Data &amp; Targets'!$B$16:$B$27,0)&lt;=1,"",INDEX('Data &amp; Targets'!$H$16:$H$27,MATCH('Data &amp; Targets'!$C$9,'Data &amp; Targets'!$B$16:$B$27,0)-1))</x:f>
        <x:v>102</x:v>
      </x:c>
      <x:c r="E7" s="4" t="str">
        <x:f t="shared" si="0"/>
        <x:v>Higher</x:v>
      </x:c>
      <x:c r="F7" s="4" t="str">
        <x:f t="shared" si="1">IF(E7="Lower",IF(B7&lt;=C7,"Pass","Review"),IF(B7&gt;=C7,"Pass","Review"))</x:f>
        <x:v>Pass</x:v>
      </x:c>
      <x:c r="G7" s="4"/>
      <x:c r="H7" s="11"/>
      <x:c r="I7" s="4"/>
      <x:c r="J7" s="4"/>
      <x:c r="K7" s="4"/>
      <x:c r="L7" s="11"/>
      <x:c r="M7" s="4"/>
      <x:c r="N7" s="4"/>
      <x:c r="O7" s="4"/>
      <x:c r="P7" s="4"/>
      <x:c r="Q7" s="4"/>
      <x:c r="R7" s="4"/>
      <x:c r="S7" s="4"/>
      <x:c r="T7" s="4"/>
    </x:row>
    <x:row r="8">
      <x:c r="A8" s="4" t="str">
        <x:v>失败用例</x:v>
      </x:c>
      <x:c r="B8" s="98" t="n">
        <x:f>INDEX('Data &amp; Targets'!$I$16:$I$27,MATCH('Data &amp; Targets'!$C$9,'Data &amp; Targets'!$B$16:$B$27,0))</x:f>
        <x:v>0</x:v>
      </x:c>
      <x:c r="C8" s="98" t="n">
        <x:f>INDEX('Data &amp; Targets'!$P$16:$P$27,MATCH('Data &amp; Targets'!$C$9,'Data &amp; Targets'!$B$16:$B$27,0))</x:f>
        <x:v>0</x:v>
      </x:c>
      <x:c r="D8" s="98" t="n">
        <x:f>IF(MATCH('Data &amp; Targets'!$C$9,'Data &amp; Targets'!$B$16:$B$27,0)&lt;=1,"",INDEX('Data &amp; Targets'!$I$16:$I$27,MATCH('Data &amp; Targets'!$C$9,'Data &amp; Targets'!$B$16:$B$27,0)-1))</x:f>
        <x:v>4</x:v>
      </x:c>
      <x:c r="E8" s="4" t="str">
        <x:v>Lower</x:v>
      </x:c>
      <x:c r="F8" s="4" t="str">
        <x:f t="shared" si="1">IF(E8="Lower",IF(B8&lt;=C8,"Pass","Review"),IF(B8&gt;=C8,"Pass","Review"))</x:f>
        <x:v>Pass</x:v>
      </x:c>
      <x:c r="G8" s="4"/>
      <x:c r="H8" s="11"/>
      <x:c r="I8" s="4"/>
      <x:c r="J8" s="4"/>
      <x:c r="K8" s="4"/>
      <x:c r="L8" s="11"/>
      <x:c r="M8" s="4"/>
      <x:c r="N8" s="4"/>
      <x:c r="O8" s="4"/>
      <x:c r="P8" s="4"/>
      <x:c r="Q8" s="4"/>
      <x:c r="R8" s="4"/>
      <x:c r="S8" s="4"/>
      <x:c r="T8" s="4"/>
    </x:row>
    <x:row r="9">
      <x:c r="A9" s="4" t="str">
        <x:v>总体通过率</x:v>
      </x:c>
      <x:c r="B9" s="101" t="n">
        <x:f>INDEX('Data &amp; Targets'!$H$16:$H$27,MATCH('Data &amp; Targets'!$C$9,'Data &amp; Targets'!$B$16:$B$27,0))/INDEX('Data &amp; Targets'!$C$16:$C$27,MATCH('Data &amp; Targets'!$C$9,'Data &amp; Targets'!$B$16:$B$27,0))</x:f>
        <x:v>1</x:v>
      </x:c>
      <x:c r="C9" s="101" t="n">
        <x:f>INDEX('Data &amp; Targets'!$O$16:$O$27,MATCH('Data &amp; Targets'!$C$9,'Data &amp; Targets'!$B$16:$B$27,0))/INDEX('Data &amp; Targets'!$J$16:$J$27,MATCH('Data &amp; Targets'!$C$9,'Data &amp; Targets'!$B$16:$B$27,0))</x:f>
        <x:v>1</x:v>
      </x:c>
      <x:c r="D9" s="101" t="n">
        <x:f>IF(IF(MATCH('Data &amp; Targets'!$C$9,'Data &amp; Targets'!$B$16:$B$27,0)&lt;=1,"",INDEX('Data &amp; Targets'!$C$16:$C$27,MATCH('Data &amp; Targets'!$C$9,'Data &amp; Targets'!$B$16:$B$27,0)-1))="","",IF(MATCH('Data &amp; Targets'!$C$9,'Data &amp; Targets'!$B$16:$B$27,0)&lt;=1,"",INDEX('Data &amp; Targets'!$H$16:$H$27,MATCH('Data &amp; Targets'!$C$9,'Data &amp; Targets'!$B$16:$B$27,0)-1))/IF(MATCH('Data &amp; Targets'!$C$9,'Data &amp; Targets'!$B$16:$B$27,0)&lt;=1,"",INDEX('Data &amp; Targets'!$C$16:$C$27,MATCH('Data &amp; Targets'!$C$9,'Data &amp; Targets'!$B$16:$B$27,0)-1)))</x:f>
        <x:v>0.9622641509433962</x:v>
      </x:c>
      <x:c r="E9" s="4" t="str">
        <x:v>Higher</x:v>
      </x:c>
      <x:c r="F9" s="4" t="str">
        <x:f t="shared" si="1">IF(E9="Lower",IF(B9&lt;=C9,"Pass","Review"),IF(B9&gt;=C9,"Pass","Review"))</x:f>
        <x:v>Pass</x:v>
      </x:c>
      <x:c r="G9" s="4"/>
      <x:c r="H9" s="11"/>
      <x:c r="I9" s="4"/>
      <x:c r="J9" s="4"/>
      <x:c r="K9" s="4"/>
      <x:c r="L9" s="11"/>
      <x:c r="M9" s="4"/>
      <x:c r="N9" s="4"/>
      <x:c r="O9" s="4"/>
      <x:c r="P9" s="4"/>
      <x:c r="Q9" s="4"/>
      <x:c r="R9" s="4"/>
      <x:c r="S9" s="4"/>
      <x:c r="T9" s="4"/>
    </x:row>
    <x:row r="10">
      <x:c r="A10" s="4"/>
      <x:c r="B10" s="4"/>
      <x:c r="C10" s="4"/>
      <x:c r="D10" s="4"/>
      <x:c r="E10" s="4"/>
      <x:c r="F10" s="4"/>
      <x:c r="G10" s="4"/>
      <x:c r="H10" s="11"/>
      <x:c r="I10" s="4"/>
      <x:c r="J10" s="4"/>
      <x:c r="K10" s="4"/>
      <x:c r="L10" s="11"/>
      <x:c r="M10" s="4"/>
      <x:c r="N10" s="4"/>
      <x:c r="O10" s="4"/>
      <x:c r="P10" s="4"/>
      <x:c r="Q10" s="4"/>
      <x:c r="R10" s="4"/>
      <x:c r="S10" s="4"/>
      <x:c r="T10" s="4"/>
    </x:row>
    <x:row r="11">
      <x:c r="A11" s="4"/>
      <x:c r="B11" s="4"/>
      <x:c r="C11" s="4"/>
      <x:c r="D11" s="4"/>
      <x:c r="E11" s="4"/>
      <x:c r="F11" s="4"/>
      <x:c r="G11" s="4"/>
      <x:c r="H11" s="11"/>
      <x:c r="I11" s="4"/>
      <x:c r="J11" s="4"/>
      <x:c r="K11" s="4"/>
      <x:c r="L11" s="11"/>
      <x:c r="M11" s="4"/>
      <x:c r="N11" s="4"/>
      <x:c r="O11" s="4"/>
      <x:c r="P11" s="4"/>
      <x:c r="Q11" s="4"/>
      <x:c r="R11" s="4"/>
      <x:c r="S11" s="4"/>
      <x:c r="T11" s="4"/>
    </x:row>
    <x:row r="12">
      <x:c r="A12" s="4"/>
      <x:c r="B12" s="4"/>
      <x:c r="C12" s="4"/>
      <x:c r="D12" s="4"/>
      <x:c r="E12" s="4"/>
      <x:c r="F12" s="4"/>
      <x:c r="G12" s="4"/>
      <x:c r="H12" s="11"/>
      <x:c r="I12" s="4"/>
      <x:c r="J12" s="4"/>
      <x:c r="K12" s="4"/>
      <x:c r="L12" s="11"/>
      <x:c r="M12" s="4"/>
      <x:c r="N12" s="4"/>
      <x:c r="O12" s="4"/>
      <x:c r="P12" s="4"/>
      <x:c r="Q12" s="4"/>
      <x:c r="R12" s="4"/>
      <x:c r="S12" s="4"/>
      <x:c r="T12" s="4"/>
    </x:row>
    <x:row r="13">
      <x:c r="A13" s="4"/>
      <x:c r="B13" s="4"/>
      <x:c r="C13" s="4"/>
      <x:c r="D13" s="4"/>
      <x:c r="E13" s="4"/>
      <x:c r="F13" s="4"/>
      <x:c r="G13" s="4"/>
      <x:c r="H13" s="11"/>
      <x:c r="I13" s="4"/>
      <x:c r="J13" s="4"/>
      <x:c r="K13" s="4"/>
      <x:c r="L13" s="11"/>
      <x:c r="M13" s="4"/>
      <x:c r="N13" s="4"/>
      <x:c r="O13" s="4"/>
      <x:c r="P13" s="4"/>
      <x:c r="Q13" s="4"/>
      <x:c r="R13" s="4"/>
      <x:c r="S13" s="4"/>
      <x:c r="T13" s="4"/>
    </x:row>
  </x:sheetData>
  <x:pageMargins left="0.7" right="0.7" top="0.75" bottom="0.75" header="0.3" footer="0.3"/>
</x:worksheet>
</file>